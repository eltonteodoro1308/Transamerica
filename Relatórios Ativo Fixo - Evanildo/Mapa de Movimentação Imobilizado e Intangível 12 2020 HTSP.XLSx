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tivo Fixo\Hoteis Transamérica São Paulo\Evolução Patrimonial Ativo Imobilizado\Evolução Patrimonial HTSP 2020\"/>
    </mc:Choice>
  </mc:AlternateContent>
  <xr:revisionPtr revIDLastSave="0" documentId="13_ncr:1_{0F830262-9F8E-4E4F-BA2A-B0F01DC9075D}" xr6:coauthVersionLast="46" xr6:coauthVersionMax="46" xr10:uidLastSave="{00000000-0000-0000-0000-000000000000}"/>
  <bookViews>
    <workbookView xWindow="-120" yWindow="-120" windowWidth="20730" windowHeight="11160" tabRatio="846" xr2:uid="{00000000-000D-0000-FFFF-FFFF00000000}"/>
  </bookViews>
  <sheets>
    <sheet name="RESUMO" sheetId="5" r:id="rId1"/>
    <sheet name="adições" sheetId="2" r:id="rId2"/>
    <sheet name="participações CSC Alfa" sheetId="7" r:id="rId3"/>
    <sheet name="tranf. proj" sheetId="6" r:id="rId4"/>
    <sheet name="baixas" sheetId="4" r:id="rId5"/>
    <sheet name="depreciações" sheetId="3" r:id="rId6"/>
    <sheet name="Balancete Contab. 12 2020" sheetId="10" r:id="rId7"/>
    <sheet name="Afixo  Saldos Geral  htsp 12 20" sheetId="11" r:id="rId8"/>
    <sheet name="Afixo Aquisição  12 20 " sheetId="13" r:id="rId9"/>
    <sheet name="Afixo Baixas Geral 12 2020" sheetId="22" r:id="rId10"/>
    <sheet name="Ativo CPC 27   12 20" sheetId="21" r:id="rId11"/>
  </sheets>
  <definedNames>
    <definedName name="_xlnm._FilterDatabase" localSheetId="1" hidden="1">adições!$A$4:$O$75</definedName>
    <definedName name="_xlnm._FilterDatabase" localSheetId="4" hidden="1">baixas!$A$4:$O$89</definedName>
    <definedName name="_xlnm._FilterDatabase" localSheetId="6" hidden="1">'Balancete Contab. 12 2020'!$A$4:$H$1221</definedName>
    <definedName name="_xlnm._FilterDatabase" localSheetId="5" hidden="1">depreciações!$A$4:$O$68</definedName>
    <definedName name="_xlnm._FilterDatabase" localSheetId="2" hidden="1">'participações CSC Alfa'!$A$4:$O$100</definedName>
    <definedName name="_xlnm._FilterDatabase" localSheetId="0" hidden="1">RESUMO!$B$4:$K$144</definedName>
    <definedName name="_xlnm.Print_Titles" localSheetId="4">baixas!$4:$4</definedName>
    <definedName name="_xlnm.Print_Titles" localSheetId="0">RESUMO!$1:$4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96" i="5" l="1"/>
  <c r="J77" i="5"/>
  <c r="J76" i="5"/>
  <c r="J75" i="5"/>
  <c r="J74" i="5"/>
  <c r="J73" i="5"/>
  <c r="J38" i="5"/>
  <c r="J62" i="5"/>
  <c r="J60" i="5"/>
  <c r="J58" i="5"/>
  <c r="J56" i="5"/>
  <c r="J52" i="5"/>
  <c r="J48" i="5"/>
  <c r="J45" i="5"/>
  <c r="J42" i="5"/>
  <c r="O57" i="7"/>
  <c r="O55" i="7"/>
  <c r="O53" i="7"/>
  <c r="O51" i="7"/>
  <c r="O48" i="7"/>
  <c r="O44" i="7"/>
  <c r="O41" i="7"/>
  <c r="O39" i="7"/>
  <c r="F42" i="5"/>
  <c r="F133" i="5"/>
  <c r="O36" i="6"/>
  <c r="O35" i="6"/>
  <c r="O34" i="6"/>
  <c r="O33" i="6"/>
  <c r="O32" i="6"/>
  <c r="E72" i="5"/>
  <c r="N6" i="2"/>
  <c r="M6" i="2"/>
  <c r="L6" i="2"/>
  <c r="K6" i="2"/>
  <c r="J6" i="2"/>
  <c r="N67" i="2"/>
  <c r="G128" i="5"/>
  <c r="G6" i="5" s="1"/>
  <c r="G5" i="5" s="1"/>
  <c r="N56" i="2"/>
  <c r="N36" i="2" s="1"/>
  <c r="M36" i="2"/>
  <c r="L36" i="2"/>
  <c r="G92" i="5"/>
  <c r="G89" i="5"/>
  <c r="N50" i="2"/>
  <c r="G86" i="5"/>
  <c r="N55" i="6"/>
  <c r="O46" i="6"/>
  <c r="N52" i="6"/>
  <c r="N17" i="6"/>
  <c r="N7" i="6"/>
  <c r="N64" i="3"/>
  <c r="N66" i="3"/>
  <c r="N67" i="3"/>
  <c r="N65" i="3"/>
  <c r="N42" i="3"/>
  <c r="N53" i="3"/>
  <c r="N52" i="3"/>
  <c r="N51" i="3"/>
  <c r="N50" i="3"/>
  <c r="N48" i="3"/>
  <c r="N47" i="3"/>
  <c r="N46" i="3"/>
  <c r="N45" i="3"/>
  <c r="N44" i="3"/>
  <c r="N43" i="3"/>
  <c r="N7" i="3"/>
  <c r="N31" i="3"/>
  <c r="N29" i="3"/>
  <c r="N27" i="3"/>
  <c r="N25" i="3"/>
  <c r="N21" i="3"/>
  <c r="N17" i="3"/>
  <c r="N14" i="3"/>
  <c r="N11" i="3"/>
  <c r="N40" i="3"/>
  <c r="N39" i="3"/>
  <c r="N38" i="3"/>
  <c r="N36" i="3"/>
  <c r="N35" i="3"/>
  <c r="N34" i="3"/>
  <c r="N33" i="3"/>
  <c r="N30" i="3"/>
  <c r="N28" i="3"/>
  <c r="N26" i="3"/>
  <c r="N24" i="3"/>
  <c r="N23" i="3"/>
  <c r="N22" i="3"/>
  <c r="N20" i="3"/>
  <c r="N19" i="3"/>
  <c r="N18" i="3"/>
  <c r="N16" i="3"/>
  <c r="N15" i="3"/>
  <c r="N13" i="3"/>
  <c r="N12" i="3"/>
  <c r="N10" i="3"/>
  <c r="N9" i="3"/>
  <c r="N8" i="3"/>
  <c r="N11" i="6"/>
  <c r="N5" i="6"/>
  <c r="N36" i="6"/>
  <c r="N35" i="6"/>
  <c r="N34" i="6"/>
  <c r="N33" i="6"/>
  <c r="N32" i="6"/>
  <c r="N49" i="6"/>
  <c r="N46" i="6"/>
  <c r="N53" i="2"/>
  <c r="N69" i="2"/>
  <c r="N13" i="2"/>
  <c r="H19" i="21"/>
  <c r="J18" i="21"/>
  <c r="H18" i="21"/>
  <c r="O36" i="2" l="1"/>
  <c r="O56" i="2"/>
  <c r="E93" i="5" s="1"/>
  <c r="J93" i="5" s="1"/>
  <c r="K93" i="5" s="1"/>
  <c r="N29" i="6"/>
  <c r="F29" i="13" l="1"/>
  <c r="G21" i="11"/>
  <c r="O51" i="4"/>
  <c r="I72" i="5" s="1"/>
  <c r="O19" i="7"/>
  <c r="I88" i="5"/>
  <c r="O53" i="4"/>
  <c r="O52" i="6"/>
  <c r="O51" i="6"/>
  <c r="O50" i="6"/>
  <c r="O49" i="6"/>
  <c r="O48" i="6"/>
  <c r="G88" i="5" s="1"/>
  <c r="G7" i="7"/>
  <c r="O54" i="2" l="1"/>
  <c r="E91" i="5" s="1"/>
  <c r="J91" i="5" s="1"/>
  <c r="O55" i="2"/>
  <c r="E92" i="5" s="1"/>
  <c r="J92" i="5" s="1"/>
  <c r="K92" i="5" s="1"/>
  <c r="O63" i="7" l="1"/>
  <c r="F87" i="5" s="1"/>
  <c r="F72" i="5" s="1"/>
  <c r="O53" i="2"/>
  <c r="E90" i="5" s="1"/>
  <c r="J90" i="5" s="1"/>
  <c r="K90" i="5" s="1"/>
  <c r="O52" i="2"/>
  <c r="E89" i="5" s="1"/>
  <c r="J89" i="5" s="1"/>
  <c r="K89" i="5" s="1"/>
  <c r="H36" i="2" l="1"/>
  <c r="G36" i="2"/>
  <c r="H6" i="2"/>
  <c r="H7" i="3" l="1"/>
  <c r="G7" i="3"/>
  <c r="F7" i="3"/>
  <c r="E7" i="3"/>
  <c r="D7" i="3"/>
  <c r="C7" i="3"/>
  <c r="H64" i="3"/>
  <c r="G64" i="3"/>
  <c r="F64" i="3"/>
  <c r="E64" i="3"/>
  <c r="D64" i="3"/>
  <c r="C64" i="3"/>
  <c r="H42" i="3"/>
  <c r="G42" i="3"/>
  <c r="F42" i="3"/>
  <c r="E42" i="3"/>
  <c r="D42" i="3"/>
  <c r="O51" i="2" l="1"/>
  <c r="E88" i="5" s="1"/>
  <c r="J88" i="5" s="1"/>
  <c r="F67" i="2" l="1"/>
  <c r="O94" i="7"/>
  <c r="F132" i="5" s="1"/>
  <c r="O93" i="7"/>
  <c r="F131" i="5" s="1"/>
  <c r="O33" i="7" l="1"/>
  <c r="O32" i="7"/>
  <c r="O31" i="7"/>
  <c r="O30" i="7"/>
  <c r="O22" i="7"/>
  <c r="O15" i="7"/>
  <c r="O11" i="7"/>
  <c r="O50" i="2"/>
  <c r="E87" i="5" s="1"/>
  <c r="J87" i="5" s="1"/>
  <c r="K87" i="5" s="1"/>
  <c r="D36" i="2" l="1"/>
  <c r="C36" i="2"/>
  <c r="C67" i="2"/>
  <c r="C6" i="2" l="1"/>
  <c r="F17" i="5" l="1"/>
  <c r="O100" i="7"/>
  <c r="F139" i="5" s="1"/>
  <c r="F62" i="5"/>
  <c r="F60" i="5"/>
  <c r="F58" i="5"/>
  <c r="F56" i="5"/>
  <c r="F52" i="5"/>
  <c r="F48" i="5"/>
  <c r="F45" i="5"/>
  <c r="D128" i="5"/>
  <c r="D35" i="5"/>
  <c r="D37" i="5" s="1"/>
  <c r="F20" i="5"/>
  <c r="F13" i="5"/>
  <c r="F10" i="5"/>
  <c r="F38" i="5" l="1"/>
  <c r="O39" i="4"/>
  <c r="O49" i="2" l="1"/>
  <c r="E86" i="5" s="1"/>
  <c r="J86" i="5" s="1"/>
  <c r="K86" i="5" s="1"/>
  <c r="O40" i="3" l="1"/>
  <c r="H70" i="5" s="1"/>
  <c r="J70" i="5" s="1"/>
  <c r="K70" i="5" s="1"/>
  <c r="O31" i="2"/>
  <c r="E32" i="5" s="1"/>
  <c r="J32" i="5" s="1"/>
  <c r="O39" i="3" l="1"/>
  <c r="H69" i="5" s="1"/>
  <c r="O38" i="3"/>
  <c r="H68" i="5" l="1"/>
  <c r="J68" i="5" s="1"/>
  <c r="J69" i="5"/>
  <c r="K69" i="5" s="1"/>
  <c r="O27" i="2"/>
  <c r="O28" i="2"/>
  <c r="O29" i="2"/>
  <c r="O30" i="2"/>
  <c r="O32" i="2"/>
  <c r="O33" i="2"/>
  <c r="E33" i="5" s="1"/>
  <c r="J33" i="5" s="1"/>
  <c r="K33" i="5" s="1"/>
  <c r="O31" i="3" l="1"/>
  <c r="H62" i="5" s="1"/>
  <c r="O29" i="3"/>
  <c r="H60" i="5" s="1"/>
  <c r="O27" i="3"/>
  <c r="H58" i="5" s="1"/>
  <c r="O25" i="3"/>
  <c r="H56" i="5" s="1"/>
  <c r="O30" i="3"/>
  <c r="H61" i="5" s="1"/>
  <c r="J61" i="5" s="1"/>
  <c r="K61" i="5" s="1"/>
  <c r="O28" i="3"/>
  <c r="H59" i="5" s="1"/>
  <c r="J59" i="5" s="1"/>
  <c r="K59" i="5" s="1"/>
  <c r="O26" i="3"/>
  <c r="H57" i="5" s="1"/>
  <c r="J57" i="5" s="1"/>
  <c r="K57" i="5" s="1"/>
  <c r="O24" i="3"/>
  <c r="H55" i="5" s="1"/>
  <c r="J55" i="5" s="1"/>
  <c r="K55" i="5" s="1"/>
  <c r="K58" i="5" l="1"/>
  <c r="K56" i="5"/>
  <c r="K60" i="5"/>
  <c r="K62" i="5"/>
  <c r="O23" i="7"/>
  <c r="O24" i="7"/>
  <c r="O25" i="7"/>
  <c r="O26" i="7"/>
  <c r="O27" i="7"/>
  <c r="O28" i="7"/>
  <c r="O29" i="7"/>
  <c r="F31" i="5"/>
  <c r="J31" i="5" s="1"/>
  <c r="K31" i="5" s="1"/>
  <c r="F29" i="5"/>
  <c r="J29" i="5" s="1"/>
  <c r="K29" i="5" s="1"/>
  <c r="F30" i="5"/>
  <c r="J30" i="5" s="1"/>
  <c r="K30" i="5" s="1"/>
  <c r="F28" i="5"/>
  <c r="O38" i="6"/>
  <c r="O39" i="6"/>
  <c r="O40" i="6"/>
  <c r="O42" i="6"/>
  <c r="O41" i="6"/>
  <c r="O44" i="6"/>
  <c r="G84" i="5" s="1"/>
  <c r="O45" i="6"/>
  <c r="G85" i="5" s="1"/>
  <c r="O43" i="6"/>
  <c r="G83" i="5" s="1"/>
  <c r="O79" i="4"/>
  <c r="O78" i="4"/>
  <c r="O88" i="4"/>
  <c r="O87" i="4"/>
  <c r="O80" i="4"/>
  <c r="O81" i="4"/>
  <c r="O85" i="4"/>
  <c r="O84" i="4"/>
  <c r="O83" i="4"/>
  <c r="J28" i="5" l="1"/>
  <c r="K28" i="5" s="1"/>
  <c r="O48" i="2"/>
  <c r="E85" i="5" s="1"/>
  <c r="J85" i="5" s="1"/>
  <c r="O73" i="2"/>
  <c r="O72" i="2"/>
  <c r="O26" i="2"/>
  <c r="O66" i="2"/>
  <c r="O58" i="2"/>
  <c r="O89" i="7"/>
  <c r="O71" i="7"/>
  <c r="O70" i="7"/>
  <c r="O69" i="7"/>
  <c r="O68" i="7"/>
  <c r="O67" i="7"/>
  <c r="O66" i="7"/>
  <c r="O65" i="7"/>
  <c r="O58" i="7"/>
  <c r="O56" i="7"/>
  <c r="O54" i="7"/>
  <c r="O14" i="7"/>
  <c r="F12" i="5" s="1"/>
  <c r="O26" i="6"/>
  <c r="O25" i="6"/>
  <c r="G26" i="5" s="1"/>
  <c r="O24" i="6"/>
  <c r="G25" i="5" s="1"/>
  <c r="O23" i="6"/>
  <c r="G24" i="5" s="1"/>
  <c r="O22" i="6"/>
  <c r="G23" i="5" s="1"/>
  <c r="O21" i="6"/>
  <c r="O29" i="6" l="1"/>
  <c r="O47" i="2"/>
  <c r="G82" i="5"/>
  <c r="E84" i="5" l="1"/>
  <c r="F136" i="5"/>
  <c r="O67" i="3"/>
  <c r="H139" i="5" s="1"/>
  <c r="J139" i="5" s="1"/>
  <c r="K139" i="5" s="1"/>
  <c r="O21" i="3"/>
  <c r="H52" i="5" s="1"/>
  <c r="O17" i="3"/>
  <c r="H48" i="5" s="1"/>
  <c r="O14" i="3"/>
  <c r="H45" i="5" s="1"/>
  <c r="O11" i="3"/>
  <c r="H42" i="5" s="1"/>
  <c r="J84" i="5" l="1"/>
  <c r="O45" i="2"/>
  <c r="G81" i="5"/>
  <c r="G80" i="5"/>
  <c r="G79" i="5"/>
  <c r="O37" i="6"/>
  <c r="G78" i="5" s="1"/>
  <c r="G77" i="5"/>
  <c r="G76" i="5"/>
  <c r="G75" i="5"/>
  <c r="G74" i="5"/>
  <c r="G73" i="5"/>
  <c r="E82" i="5" l="1"/>
  <c r="O44" i="2" l="1"/>
  <c r="E81" i="5" l="1"/>
  <c r="J81" i="5" s="1"/>
  <c r="O38" i="2"/>
  <c r="O20" i="3"/>
  <c r="H51" i="5" s="1"/>
  <c r="J51" i="5" s="1"/>
  <c r="K51" i="5" s="1"/>
  <c r="O16" i="3"/>
  <c r="H47" i="5" s="1"/>
  <c r="J47" i="5" s="1"/>
  <c r="K47" i="5" s="1"/>
  <c r="O13" i="3"/>
  <c r="H44" i="5" s="1"/>
  <c r="J44" i="5" s="1"/>
  <c r="K44" i="5" s="1"/>
  <c r="O66" i="3"/>
  <c r="H138" i="5" s="1"/>
  <c r="J138" i="5" s="1"/>
  <c r="K138" i="5" s="1"/>
  <c r="K45" i="5"/>
  <c r="K52" i="5"/>
  <c r="K48" i="5"/>
  <c r="K42" i="5"/>
  <c r="O58" i="6"/>
  <c r="G131" i="5" s="1"/>
  <c r="O59" i="6"/>
  <c r="G132" i="5" s="1"/>
  <c r="J132" i="5" s="1"/>
  <c r="K132" i="5" s="1"/>
  <c r="J13" i="5"/>
  <c r="K13" i="5" s="1"/>
  <c r="G19" i="5"/>
  <c r="O12" i="6"/>
  <c r="G12" i="5" s="1"/>
  <c r="J12" i="5" s="1"/>
  <c r="K12" i="5" s="1"/>
  <c r="O15" i="6"/>
  <c r="G16" i="5" s="1"/>
  <c r="O8" i="6"/>
  <c r="G9" i="5" s="1"/>
  <c r="O12" i="2"/>
  <c r="O21" i="4"/>
  <c r="O20" i="4"/>
  <c r="O19" i="4"/>
  <c r="I18" i="5" s="1"/>
  <c r="O18" i="4"/>
  <c r="O17" i="4"/>
  <c r="O16" i="4"/>
  <c r="O15" i="4"/>
  <c r="I14" i="5" s="1"/>
  <c r="O14" i="4"/>
  <c r="O13" i="4"/>
  <c r="I11" i="5" s="1"/>
  <c r="O12" i="4"/>
  <c r="O11" i="4"/>
  <c r="O10" i="4"/>
  <c r="O48" i="4"/>
  <c r="I66" i="5" s="1"/>
  <c r="O47" i="4"/>
  <c r="I65" i="5" s="1"/>
  <c r="O46" i="4"/>
  <c r="I64" i="5" s="1"/>
  <c r="O45" i="4"/>
  <c r="I63" i="5" s="1"/>
  <c r="O44" i="4"/>
  <c r="I54" i="5" s="1"/>
  <c r="O43" i="4"/>
  <c r="I53" i="5" s="1"/>
  <c r="O42" i="4"/>
  <c r="O41" i="4"/>
  <c r="O40" i="4"/>
  <c r="I50" i="5" s="1"/>
  <c r="O38" i="4"/>
  <c r="O37" i="4"/>
  <c r="I46" i="5" s="1"/>
  <c r="O36" i="4"/>
  <c r="O35" i="4"/>
  <c r="I43" i="5" s="1"/>
  <c r="O34" i="4"/>
  <c r="O10" i="3"/>
  <c r="H41" i="5" s="1"/>
  <c r="J41" i="5" s="1"/>
  <c r="K41" i="5" s="1"/>
  <c r="O25" i="2"/>
  <c r="E26" i="5" s="1"/>
  <c r="O24" i="2"/>
  <c r="E25" i="5" s="1"/>
  <c r="O23" i="2"/>
  <c r="E24" i="5" s="1"/>
  <c r="O22" i="2"/>
  <c r="E23" i="5" s="1"/>
  <c r="E27" i="5"/>
  <c r="O19" i="2"/>
  <c r="E20" i="5" s="1"/>
  <c r="O7" i="2"/>
  <c r="E7" i="5" s="1"/>
  <c r="O21" i="2"/>
  <c r="E22" i="5" s="1"/>
  <c r="O20" i="2"/>
  <c r="E21" i="5" s="1"/>
  <c r="O43" i="2"/>
  <c r="O42" i="2"/>
  <c r="E79" i="5" s="1"/>
  <c r="J78" i="5"/>
  <c r="O52" i="4"/>
  <c r="I77" i="5" s="1"/>
  <c r="O53" i="3"/>
  <c r="H106" i="5" s="1"/>
  <c r="J106" i="5" s="1"/>
  <c r="K106" i="5" s="1"/>
  <c r="O52" i="3"/>
  <c r="H105" i="5" s="1"/>
  <c r="J105" i="5" s="1"/>
  <c r="K105" i="5" s="1"/>
  <c r="O51" i="3"/>
  <c r="H104" i="5" s="1"/>
  <c r="J104" i="5" s="1"/>
  <c r="K104" i="5" s="1"/>
  <c r="O41" i="2"/>
  <c r="E77" i="5" s="1"/>
  <c r="K77" i="5" s="1"/>
  <c r="O40" i="2"/>
  <c r="O31" i="6"/>
  <c r="O39" i="2"/>
  <c r="E75" i="5" s="1"/>
  <c r="K75" i="5" s="1"/>
  <c r="O37" i="2"/>
  <c r="E73" i="5" s="1"/>
  <c r="O62" i="7"/>
  <c r="O46" i="2"/>
  <c r="O65" i="3"/>
  <c r="H137" i="5" s="1"/>
  <c r="O62" i="3"/>
  <c r="H121" i="5" s="1"/>
  <c r="O61" i="3"/>
  <c r="H120" i="5" s="1"/>
  <c r="O60" i="3"/>
  <c r="H119" i="5" s="1"/>
  <c r="O59" i="3"/>
  <c r="H118" i="5" s="1"/>
  <c r="O56" i="3"/>
  <c r="O55" i="3" s="1"/>
  <c r="H124" i="5" s="1"/>
  <c r="J124" i="5" s="1"/>
  <c r="K124" i="5" s="1"/>
  <c r="O49" i="3"/>
  <c r="H102" i="5" s="1"/>
  <c r="O48" i="3"/>
  <c r="H101" i="5" s="1"/>
  <c r="J101" i="5" s="1"/>
  <c r="K101" i="5" s="1"/>
  <c r="O47" i="3"/>
  <c r="H100" i="5" s="1"/>
  <c r="J100" i="5" s="1"/>
  <c r="K100" i="5" s="1"/>
  <c r="O46" i="3"/>
  <c r="H99" i="5" s="1"/>
  <c r="J99" i="5" s="1"/>
  <c r="K99" i="5" s="1"/>
  <c r="O45" i="3"/>
  <c r="H98" i="5" s="1"/>
  <c r="J98" i="5" s="1"/>
  <c r="K98" i="5" s="1"/>
  <c r="O44" i="3"/>
  <c r="H97" i="5" s="1"/>
  <c r="J97" i="5" s="1"/>
  <c r="K97" i="5" s="1"/>
  <c r="O43" i="3"/>
  <c r="J96" i="5" s="1"/>
  <c r="K96" i="5" s="1"/>
  <c r="O36" i="3"/>
  <c r="H66" i="5" s="1"/>
  <c r="O35" i="3"/>
  <c r="H65" i="5" s="1"/>
  <c r="O34" i="3"/>
  <c r="H64" i="5" s="1"/>
  <c r="J64" i="5" s="1"/>
  <c r="K64" i="5" s="1"/>
  <c r="O33" i="3"/>
  <c r="H63" i="5" s="1"/>
  <c r="O23" i="3"/>
  <c r="H54" i="5" s="1"/>
  <c r="O22" i="3"/>
  <c r="H53" i="5" s="1"/>
  <c r="O19" i="3"/>
  <c r="H50" i="5" s="1"/>
  <c r="O18" i="3"/>
  <c r="H49" i="5" s="1"/>
  <c r="J49" i="5" s="1"/>
  <c r="K49" i="5" s="1"/>
  <c r="O15" i="3"/>
  <c r="H46" i="5" s="1"/>
  <c r="O12" i="3"/>
  <c r="O9" i="3"/>
  <c r="H40" i="5" s="1"/>
  <c r="O8" i="3"/>
  <c r="O72" i="7"/>
  <c r="F102" i="5" s="1"/>
  <c r="F95" i="5" s="1"/>
  <c r="O30" i="6"/>
  <c r="O63" i="2"/>
  <c r="O62" i="2"/>
  <c r="O61" i="2"/>
  <c r="O60" i="2"/>
  <c r="O59" i="2"/>
  <c r="O54" i="3"/>
  <c r="O50" i="3"/>
  <c r="H103" i="5" s="1"/>
  <c r="J103" i="5" s="1"/>
  <c r="K103" i="5" s="1"/>
  <c r="O61" i="7"/>
  <c r="O8" i="2"/>
  <c r="E8" i="5" s="1"/>
  <c r="O9" i="2"/>
  <c r="E9" i="5" s="1"/>
  <c r="O10" i="2"/>
  <c r="E10" i="5" s="1"/>
  <c r="O11" i="2"/>
  <c r="E11" i="5" s="1"/>
  <c r="O13" i="2"/>
  <c r="E14" i="5" s="1"/>
  <c r="O14" i="2"/>
  <c r="E15" i="5" s="1"/>
  <c r="J15" i="5" s="1"/>
  <c r="K15" i="5" s="1"/>
  <c r="O15" i="2"/>
  <c r="E16" i="5" s="1"/>
  <c r="O16" i="2"/>
  <c r="E17" i="5" s="1"/>
  <c r="J17" i="5" s="1"/>
  <c r="K17" i="5" s="1"/>
  <c r="O17" i="2"/>
  <c r="E18" i="5" s="1"/>
  <c r="O18" i="2"/>
  <c r="E19" i="5" s="1"/>
  <c r="O68" i="2"/>
  <c r="E130" i="5" s="1"/>
  <c r="J130" i="5" s="1"/>
  <c r="K130" i="5" s="1"/>
  <c r="O69" i="2"/>
  <c r="E131" i="5" s="1"/>
  <c r="O8" i="4"/>
  <c r="I7" i="5" s="1"/>
  <c r="O9" i="4"/>
  <c r="O22" i="4"/>
  <c r="I21" i="5" s="1"/>
  <c r="O23" i="4"/>
  <c r="I22" i="5" s="1"/>
  <c r="O24" i="4"/>
  <c r="I23" i="5" s="1"/>
  <c r="O25" i="4"/>
  <c r="I24" i="5" s="1"/>
  <c r="O26" i="4"/>
  <c r="I25" i="5" s="1"/>
  <c r="O27" i="4"/>
  <c r="I26" i="5" s="1"/>
  <c r="O28" i="4"/>
  <c r="I27" i="5" s="1"/>
  <c r="O32" i="4"/>
  <c r="I39" i="5" s="1"/>
  <c r="O33" i="4"/>
  <c r="I40" i="5" s="1"/>
  <c r="O64" i="4"/>
  <c r="I110" i="5" s="1"/>
  <c r="O65" i="4"/>
  <c r="I111" i="5" s="1"/>
  <c r="J111" i="5" s="1"/>
  <c r="K111" i="5" s="1"/>
  <c r="O66" i="4"/>
  <c r="I112" i="5" s="1"/>
  <c r="J112" i="5" s="1"/>
  <c r="K112" i="5" s="1"/>
  <c r="O67" i="4"/>
  <c r="I113" i="5" s="1"/>
  <c r="J113" i="5" s="1"/>
  <c r="K113" i="5" s="1"/>
  <c r="O68" i="4"/>
  <c r="I114" i="5" s="1"/>
  <c r="J114" i="5" s="1"/>
  <c r="K114" i="5" s="1"/>
  <c r="O72" i="4"/>
  <c r="I118" i="5" s="1"/>
  <c r="O73" i="4"/>
  <c r="I119" i="5" s="1"/>
  <c r="O74" i="4"/>
  <c r="I120" i="5" s="1"/>
  <c r="O75" i="4"/>
  <c r="I121" i="5" s="1"/>
  <c r="J142" i="5"/>
  <c r="K142" i="5" s="1"/>
  <c r="J143" i="5"/>
  <c r="K143" i="5" s="1"/>
  <c r="O6" i="6"/>
  <c r="O7" i="6"/>
  <c r="G8" i="5" s="1"/>
  <c r="O9" i="6"/>
  <c r="O10" i="6"/>
  <c r="O11" i="6"/>
  <c r="O13" i="6"/>
  <c r="G14" i="5" s="1"/>
  <c r="O14" i="6"/>
  <c r="O16" i="6"/>
  <c r="O17" i="6"/>
  <c r="O18" i="6"/>
  <c r="O19" i="6"/>
  <c r="O20" i="6"/>
  <c r="O56" i="6"/>
  <c r="O57" i="6"/>
  <c r="O7" i="7"/>
  <c r="O8" i="7"/>
  <c r="O9" i="7"/>
  <c r="F8" i="5" s="1"/>
  <c r="O10" i="7"/>
  <c r="F9" i="5" s="1"/>
  <c r="O12" i="7"/>
  <c r="O13" i="7"/>
  <c r="F11" i="5" s="1"/>
  <c r="O16" i="7"/>
  <c r="F14" i="5" s="1"/>
  <c r="O17" i="7"/>
  <c r="F23" i="5" s="1"/>
  <c r="O18" i="7"/>
  <c r="F16" i="5" s="1"/>
  <c r="O20" i="7"/>
  <c r="F18" i="5" s="1"/>
  <c r="O21" i="7"/>
  <c r="F19" i="5" s="1"/>
  <c r="F27" i="5"/>
  <c r="O36" i="7"/>
  <c r="O37" i="7"/>
  <c r="F40" i="5" s="1"/>
  <c r="O38" i="7"/>
  <c r="O40" i="7"/>
  <c r="O42" i="7"/>
  <c r="O43" i="7"/>
  <c r="O45" i="7"/>
  <c r="O46" i="7"/>
  <c r="O47" i="7"/>
  <c r="O49" i="7"/>
  <c r="O50" i="7"/>
  <c r="O52" i="7"/>
  <c r="O75" i="7"/>
  <c r="O76" i="7"/>
  <c r="O77" i="7"/>
  <c r="O78" i="7"/>
  <c r="O79" i="7"/>
  <c r="O80" i="7"/>
  <c r="O83" i="7"/>
  <c r="F118" i="5" s="1"/>
  <c r="F117" i="5" s="1"/>
  <c r="O84" i="7"/>
  <c r="O85" i="7"/>
  <c r="O86" i="7"/>
  <c r="O87" i="7"/>
  <c r="O91" i="7"/>
  <c r="O92" i="7"/>
  <c r="O97" i="7"/>
  <c r="O98" i="7"/>
  <c r="I35" i="5" l="1"/>
  <c r="J65" i="5"/>
  <c r="K65" i="5" s="1"/>
  <c r="J110" i="5"/>
  <c r="I116" i="5"/>
  <c r="I117" i="5"/>
  <c r="J131" i="5"/>
  <c r="K131" i="5" s="1"/>
  <c r="J10" i="5"/>
  <c r="K10" i="5" s="1"/>
  <c r="F35" i="5"/>
  <c r="F6" i="5" s="1"/>
  <c r="O7" i="3"/>
  <c r="I38" i="5"/>
  <c r="I6" i="5" s="1"/>
  <c r="H39" i="5"/>
  <c r="J39" i="5" s="1"/>
  <c r="K39" i="5" s="1"/>
  <c r="K73" i="5"/>
  <c r="J63" i="5"/>
  <c r="K63" i="5" s="1"/>
  <c r="G18" i="5"/>
  <c r="J18" i="5" s="1"/>
  <c r="K18" i="5" s="1"/>
  <c r="J20" i="5"/>
  <c r="K20" i="5" s="1"/>
  <c r="E35" i="5"/>
  <c r="G11" i="5"/>
  <c r="J11" i="5" s="1"/>
  <c r="K11" i="5" s="1"/>
  <c r="J54" i="5"/>
  <c r="K54" i="5" s="1"/>
  <c r="J79" i="5"/>
  <c r="J25" i="5"/>
  <c r="K25" i="5" s="1"/>
  <c r="O95" i="7"/>
  <c r="E74" i="5"/>
  <c r="K74" i="5" s="1"/>
  <c r="E76" i="5"/>
  <c r="K76" i="5" s="1"/>
  <c r="E80" i="5"/>
  <c r="E83" i="5"/>
  <c r="J82" i="5" s="1"/>
  <c r="O31" i="4"/>
  <c r="O90" i="7"/>
  <c r="O35" i="7"/>
  <c r="G72" i="5"/>
  <c r="O55" i="6"/>
  <c r="O5" i="6" s="1"/>
  <c r="J16" i="5"/>
  <c r="K16" i="5" s="1"/>
  <c r="O6" i="7"/>
  <c r="J24" i="5"/>
  <c r="K24" i="5" s="1"/>
  <c r="J137" i="5"/>
  <c r="K137" i="5" s="1"/>
  <c r="H136" i="5"/>
  <c r="H129" i="5" s="1"/>
  <c r="H128" i="5" s="1"/>
  <c r="O58" i="3"/>
  <c r="H117" i="5" s="1"/>
  <c r="H125" i="5"/>
  <c r="J125" i="5" s="1"/>
  <c r="K125" i="5" s="1"/>
  <c r="J121" i="5"/>
  <c r="K121" i="5" s="1"/>
  <c r="J66" i="5"/>
  <c r="K66" i="5" s="1"/>
  <c r="O7" i="4"/>
  <c r="J119" i="5"/>
  <c r="K119" i="5" s="1"/>
  <c r="J21" i="5"/>
  <c r="K21" i="5" s="1"/>
  <c r="J118" i="5"/>
  <c r="K118" i="5" s="1"/>
  <c r="J120" i="5"/>
  <c r="K120" i="5" s="1"/>
  <c r="J7" i="5"/>
  <c r="J27" i="5"/>
  <c r="J9" i="5"/>
  <c r="K9" i="5" s="1"/>
  <c r="J26" i="5"/>
  <c r="K26" i="5" s="1"/>
  <c r="J19" i="5"/>
  <c r="K19" i="5" s="1"/>
  <c r="J50" i="5"/>
  <c r="K50" i="5" s="1"/>
  <c r="O63" i="4"/>
  <c r="O71" i="4"/>
  <c r="O64" i="3"/>
  <c r="J14" i="5"/>
  <c r="K14" i="5" s="1"/>
  <c r="O67" i="2"/>
  <c r="E129" i="5" s="1"/>
  <c r="E128" i="5" s="1"/>
  <c r="J46" i="5"/>
  <c r="K46" i="5" s="1"/>
  <c r="J8" i="5"/>
  <c r="K8" i="5" s="1"/>
  <c r="J40" i="5"/>
  <c r="K40" i="5" s="1"/>
  <c r="J23" i="5"/>
  <c r="K23" i="5" s="1"/>
  <c r="J53" i="5"/>
  <c r="K53" i="5" s="1"/>
  <c r="J102" i="5"/>
  <c r="K102" i="5" s="1"/>
  <c r="J22" i="5"/>
  <c r="K22" i="5" s="1"/>
  <c r="O6" i="2"/>
  <c r="O42" i="3"/>
  <c r="H43" i="5"/>
  <c r="J43" i="5" s="1"/>
  <c r="K43" i="5" s="1"/>
  <c r="F5" i="5" l="1"/>
  <c r="E6" i="5"/>
  <c r="E5" i="5" s="1"/>
  <c r="I109" i="5"/>
  <c r="K110" i="5"/>
  <c r="J116" i="5"/>
  <c r="G35" i="5"/>
  <c r="J133" i="5"/>
  <c r="K133" i="5" s="1"/>
  <c r="F129" i="5"/>
  <c r="F128" i="5" s="1"/>
  <c r="I5" i="5"/>
  <c r="O5" i="3"/>
  <c r="H6" i="5" s="1"/>
  <c r="H5" i="5" s="1"/>
  <c r="H95" i="5"/>
  <c r="J95" i="5" s="1"/>
  <c r="K95" i="5" s="1"/>
  <c r="H38" i="5"/>
  <c r="K38" i="5" s="1"/>
  <c r="J35" i="5"/>
  <c r="K7" i="5"/>
  <c r="J83" i="5"/>
  <c r="J80" i="5"/>
  <c r="O6" i="4"/>
  <c r="O5" i="4" s="1"/>
  <c r="J136" i="5"/>
  <c r="K136" i="5" s="1"/>
  <c r="J117" i="5"/>
  <c r="O5" i="2"/>
  <c r="K117" i="5" l="1"/>
  <c r="J109" i="5"/>
  <c r="K109" i="5" s="1"/>
  <c r="J134" i="5"/>
  <c r="J129" i="5" s="1"/>
  <c r="K129" i="5" s="1"/>
  <c r="J6" i="5"/>
  <c r="J72" i="5"/>
  <c r="K72" i="5" s="1"/>
  <c r="J37" i="5"/>
  <c r="J5" i="5" l="1"/>
  <c r="J128" i="5"/>
  <c r="K128" i="5" s="1"/>
  <c r="K5" i="5" l="1"/>
  <c r="K6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tc={60349F73-28B2-4BED-9EDB-874B190605F2}</author>
    <author>Evanildo Nascimento Silva</author>
    <author>tc={073B4DBE-F8C3-43F8-A980-4CDCB53AABA9}</author>
    <author>Jacqueline Medeiros Jaquetta</author>
    <author>tc={551436CF-D572-4DCE-A811-AC9740F241E1}</author>
    <author>tc={46E39E0C-2E77-4EFE-B7E9-48BA0C86C6C4}</author>
    <author>tc={42516126-E1B1-4A52-B722-6A16D09FF088}</author>
  </authors>
  <commentList>
    <comment ref="G6" authorId="0" shapeId="0" xr:uid="{60349F73-28B2-4BED-9EDB-874B190605F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Vlr tranf. proj. 125520  para Software 145310</t>
      </text>
    </comment>
    <comment ref="F10" authorId="1" shapeId="0" xr:uid="{00000000-0006-0000-0000-000001000000}">
      <text>
        <r>
          <rPr>
            <b/>
            <sz val="9"/>
            <color indexed="81"/>
            <rFont val="Tahoma"/>
            <family val="2"/>
          </rPr>
          <t>Evanildo Nascimento Silva:</t>
        </r>
        <r>
          <rPr>
            <sz val="9"/>
            <color indexed="81"/>
            <rFont val="Tahoma"/>
            <family val="2"/>
          </rPr>
          <t xml:space="preserve">
vlr. tem como contra partida grupo conta corrente participação - 258450, foram feitas baixas que representa a participação das empresas nos ativos do csc</t>
        </r>
      </text>
    </comment>
    <comment ref="F13" authorId="1" shapeId="0" xr:uid="{B8FC987E-EE7F-4FC9-9303-E28C1379D597}">
      <text>
        <r>
          <rPr>
            <b/>
            <sz val="9"/>
            <color indexed="81"/>
            <rFont val="Tahoma"/>
            <family val="2"/>
          </rPr>
          <t>Evanildo Nascimento Silva:</t>
        </r>
        <r>
          <rPr>
            <sz val="9"/>
            <color indexed="81"/>
            <rFont val="Tahoma"/>
            <family val="2"/>
          </rPr>
          <t xml:space="preserve">
vlr. tem como contra partida grupo conta corrente participação - 258450, foram feitas baixas que representa a participação das empresas nos ativos do csc</t>
        </r>
      </text>
    </comment>
    <comment ref="F14" authorId="1" shapeId="0" xr:uid="{DCDE88E1-71D0-455E-B013-96766F42301D}">
      <text>
        <r>
          <rPr>
            <b/>
            <sz val="9"/>
            <color indexed="81"/>
            <rFont val="Tahoma"/>
            <family val="2"/>
          </rPr>
          <t>Evanildo Nascimento Silva:</t>
        </r>
        <r>
          <rPr>
            <sz val="9"/>
            <color indexed="81"/>
            <rFont val="Tahoma"/>
            <family val="2"/>
          </rPr>
          <t xml:space="preserve">
vlr. tem como contra partida grupo conta corrente participação - 258450, foram feitas baixas que representa a participação das empresas nos ativos do csc</t>
        </r>
      </text>
    </comment>
    <comment ref="F16" authorId="1" shapeId="0" xr:uid="{692154F5-9DCA-4FD6-A6BD-BC9A9D55B912}">
      <text>
        <r>
          <rPr>
            <b/>
            <sz val="9"/>
            <color indexed="81"/>
            <rFont val="Tahoma"/>
            <family val="2"/>
          </rPr>
          <t>Evanildo Nascimento Silva:</t>
        </r>
        <r>
          <rPr>
            <sz val="9"/>
            <color indexed="81"/>
            <rFont val="Tahoma"/>
            <family val="2"/>
          </rPr>
          <t xml:space="preserve">
vlr. tem como contra partida grupo conta corrente participação - 258450, foram feitas baixas que representa a participação das empresas nos ativos do csc</t>
        </r>
      </text>
    </comment>
    <comment ref="F17" authorId="1" shapeId="0" xr:uid="{96ABA141-15B5-40C4-88FC-F50141F56758}">
      <text>
        <r>
          <rPr>
            <b/>
            <sz val="9"/>
            <color indexed="81"/>
            <rFont val="Tahoma"/>
            <family val="2"/>
          </rPr>
          <t>Evanildo Nascimento Silva:</t>
        </r>
        <r>
          <rPr>
            <sz val="9"/>
            <color indexed="81"/>
            <rFont val="Tahoma"/>
            <family val="2"/>
          </rPr>
          <t xml:space="preserve">
vlr. tem como contra partida grupo conta corrente participação - 258450, foram feitas baixas que representa a participação das empresas nos ativos do csc</t>
        </r>
      </text>
    </comment>
    <comment ref="F20" authorId="1" shapeId="0" xr:uid="{2E1C1536-F237-4043-9E46-43219FD8DE54}">
      <text>
        <r>
          <rPr>
            <b/>
            <sz val="9"/>
            <color indexed="81"/>
            <rFont val="Tahoma"/>
            <family val="2"/>
          </rPr>
          <t>Evanildo Nascimento Silva:</t>
        </r>
        <r>
          <rPr>
            <sz val="9"/>
            <color indexed="81"/>
            <rFont val="Tahoma"/>
            <family val="2"/>
          </rPr>
          <t xml:space="preserve">
vlr. tem como contra partida grupo conta corrente participação - 258450, foram feitas baixas que representa a participação das empresas nos ativos do csc</t>
        </r>
      </text>
    </comment>
    <comment ref="F28" authorId="1" shapeId="0" xr:uid="{581779F6-1DF0-4EFE-834B-AE7F08F8D3B0}">
      <text>
        <r>
          <rPr>
            <b/>
            <sz val="9"/>
            <color indexed="81"/>
            <rFont val="Tahoma"/>
            <family val="2"/>
          </rPr>
          <t>Evanildo Nascimento Silva:</t>
        </r>
        <r>
          <rPr>
            <sz val="9"/>
            <color indexed="81"/>
            <rFont val="Tahoma"/>
            <family val="2"/>
          </rPr>
          <t xml:space="preserve">
vlr. tem como contra partida grupo conta corrente participação - 258450, foram feitas baixas que representa a participação das empresas nos ativos do csc</t>
        </r>
      </text>
    </comment>
    <comment ref="F29" authorId="1" shapeId="0" xr:uid="{2D3269D3-E22A-4967-8BD2-9964A85F8B68}">
      <text>
        <r>
          <rPr>
            <b/>
            <sz val="9"/>
            <color indexed="81"/>
            <rFont val="Tahoma"/>
            <family val="2"/>
          </rPr>
          <t>Evanildo Nascimento Silva:</t>
        </r>
        <r>
          <rPr>
            <sz val="9"/>
            <color indexed="81"/>
            <rFont val="Tahoma"/>
            <family val="2"/>
          </rPr>
          <t xml:space="preserve">
vlr. tem como contra partida grupo conta corrente participação - 258450, foram feitas baixas que representa a participação das empresas nos ativos do csc</t>
        </r>
      </text>
    </comment>
    <comment ref="F30" authorId="1" shapeId="0" xr:uid="{558C0062-983A-4562-BCCB-D610B7926734}">
      <text>
        <r>
          <rPr>
            <b/>
            <sz val="9"/>
            <color indexed="81"/>
            <rFont val="Tahoma"/>
            <family val="2"/>
          </rPr>
          <t>Evanildo Nascimento Silva:</t>
        </r>
        <r>
          <rPr>
            <sz val="9"/>
            <color indexed="81"/>
            <rFont val="Tahoma"/>
            <family val="2"/>
          </rPr>
          <t xml:space="preserve">
vlr. tem como contra partida grupo conta corrente participação - 258450, foram feitas baixas que representa a participação das empresas nos ativos do csc</t>
        </r>
      </text>
    </comment>
    <comment ref="F42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Evanildo Nascimento Silva:</t>
        </r>
        <r>
          <rPr>
            <sz val="9"/>
            <color indexed="81"/>
            <rFont val="Tahoma"/>
            <family val="2"/>
          </rPr>
          <t xml:space="preserve">
vlr. ref. depreciação acumulada dos ativos das empreas participantes do csc </t>
        </r>
      </text>
    </comment>
    <comment ref="F43" authorId="2" shapeId="0" xr:uid="{073B4DBE-F8C3-43F8-A980-4CDCB53AABA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Vlr estornado contra despesa depreciação devido lançamento duplicidade</t>
      </text>
    </comment>
    <comment ref="F45" authorId="1" shapeId="0" xr:uid="{CBED495E-A797-426A-9422-FA40A31F0EBA}">
      <text>
        <r>
          <rPr>
            <b/>
            <sz val="9"/>
            <color indexed="81"/>
            <rFont val="Tahoma"/>
            <family val="2"/>
          </rPr>
          <t>Evanildo Nascimento Silva:</t>
        </r>
        <r>
          <rPr>
            <sz val="9"/>
            <color indexed="81"/>
            <rFont val="Tahoma"/>
            <family val="2"/>
          </rPr>
          <t xml:space="preserve">
vlr. ref. depreciação acumulada dos ativos das empreas participantes do csc </t>
        </r>
      </text>
    </comment>
    <comment ref="H45" authorId="3" shapeId="0" xr:uid="{A3E3667F-1031-461E-9EA0-7AF9A65ED3F6}">
      <text>
        <r>
          <rPr>
            <b/>
            <sz val="9"/>
            <color indexed="81"/>
            <rFont val="Segoe UI"/>
            <family val="2"/>
          </rPr>
          <t>Jacqueline Medeiros Jaquetta:</t>
        </r>
        <r>
          <rPr>
            <sz val="9"/>
            <color indexed="81"/>
            <rFont val="Segoe UI"/>
            <family val="2"/>
          </rPr>
          <t xml:space="preserve">
vlr. ref. depreciação acumulada dos ativos das empreas participantes do csc</t>
        </r>
      </text>
    </comment>
    <comment ref="F48" authorId="1" shapeId="0" xr:uid="{00000000-0006-0000-0000-000006000000}">
      <text>
        <r>
          <rPr>
            <b/>
            <sz val="9"/>
            <color indexed="81"/>
            <rFont val="Tahoma"/>
            <family val="2"/>
          </rPr>
          <t>Evanildo Nascimento Silva:</t>
        </r>
        <r>
          <rPr>
            <sz val="9"/>
            <color indexed="81"/>
            <rFont val="Tahoma"/>
            <family val="2"/>
          </rPr>
          <t xml:space="preserve">
vlr. ref. depreciação acumulada dos ativos das empreas participantes do csc </t>
        </r>
      </text>
    </comment>
    <comment ref="H48" authorId="3" shapeId="0" xr:uid="{EA91C79A-506E-4450-B4D7-EC2CD6D4253A}">
      <text>
        <r>
          <rPr>
            <b/>
            <sz val="9"/>
            <color indexed="81"/>
            <rFont val="Segoe UI"/>
            <family val="2"/>
          </rPr>
          <t>Jacqueline Medeiros Jaquetta:</t>
        </r>
        <r>
          <rPr>
            <sz val="9"/>
            <color indexed="81"/>
            <rFont val="Segoe UI"/>
            <family val="2"/>
          </rPr>
          <t xml:space="preserve">
vlr. ref. depreciação acumulada dos ativos das empreas participantes do csc</t>
        </r>
      </text>
    </comment>
    <comment ref="F50" authorId="4" shapeId="0" xr:uid="{551436CF-D572-4DCE-A811-AC9740F241E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Vlr estornado contra despesa depreciação devido lançamento duplicidade</t>
      </text>
    </comment>
    <comment ref="F52" authorId="1" shapeId="0" xr:uid="{00000000-0006-0000-0000-000007000000}">
      <text>
        <r>
          <rPr>
            <b/>
            <sz val="9"/>
            <color indexed="81"/>
            <rFont val="Tahoma"/>
            <family val="2"/>
          </rPr>
          <t>Evanildo Nascimento Silva:</t>
        </r>
        <r>
          <rPr>
            <sz val="9"/>
            <color indexed="81"/>
            <rFont val="Tahoma"/>
            <family val="2"/>
          </rPr>
          <t xml:space="preserve">
vlr. ref. depreciação acumulada dos ativos das empreas participantes do csc </t>
        </r>
      </text>
    </comment>
    <comment ref="H52" authorId="3" shapeId="0" xr:uid="{498D396A-BE7D-4244-8C8D-32A9F74DC5CC}">
      <text>
        <r>
          <rPr>
            <b/>
            <sz val="9"/>
            <color indexed="81"/>
            <rFont val="Segoe UI"/>
            <family val="2"/>
          </rPr>
          <t>Jacqueline Medeiros Jaquetta:</t>
        </r>
        <r>
          <rPr>
            <sz val="9"/>
            <color indexed="81"/>
            <rFont val="Segoe UI"/>
            <family val="2"/>
          </rPr>
          <t xml:space="preserve">
vlr. ref. depreciação acumulada dos ativos das empreas participantes do csc</t>
        </r>
      </text>
    </comment>
    <comment ref="F87" authorId="5" shapeId="0" xr:uid="{46E39E0C-2E77-4EFE-B7E9-48BA0C86C6C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Vlr. ref. participação das empresas, baixa pelo recebto.</t>
      </text>
    </comment>
    <comment ref="F133" authorId="1" shapeId="0" xr:uid="{BAB5069C-CD91-4C28-8A29-D3DC052768C9}">
      <text>
        <r>
          <rPr>
            <b/>
            <sz val="9"/>
            <color indexed="81"/>
            <rFont val="Tahoma"/>
            <family val="2"/>
          </rPr>
          <t>Evanildo Nascimento Silva:</t>
        </r>
        <r>
          <rPr>
            <sz val="9"/>
            <color indexed="81"/>
            <rFont val="Tahoma"/>
            <family val="2"/>
          </rPr>
          <t xml:space="preserve">
vlr. tem como contra partida grupo conta corrente participação - 258450, foram feitas baixas que representa a participação das empresas nos ativos do csc</t>
        </r>
      </text>
    </comment>
    <comment ref="F137" authorId="6" shapeId="0" xr:uid="{42516126-E1B1-4A52-B722-6A16D09FF08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Vlr estornado contra despesa depreciação devido lançamento duplicidade</t>
      </text>
    </comment>
    <comment ref="H139" authorId="3" shapeId="0" xr:uid="{96013337-6CF6-469F-9654-1B28D227E4CC}">
      <text>
        <r>
          <rPr>
            <b/>
            <sz val="9"/>
            <color indexed="81"/>
            <rFont val="Segoe UI"/>
            <family val="2"/>
          </rPr>
          <t>Jacqueline Medeiros Jaquetta:</t>
        </r>
        <r>
          <rPr>
            <sz val="9"/>
            <color indexed="81"/>
            <rFont val="Segoe UI"/>
            <family val="2"/>
          </rPr>
          <t xml:space="preserve">
vlr. ref. amortização acumulada dos ativos das empreas participantes do csc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tc={CCF27156-8C38-4FD9-BC7D-CF859D4B8691}</author>
    <author>tc={ACEAFD6A-CF6C-4D5A-B3B0-C4F14F890FE4}</author>
    <author>tc={4DFD422B-3642-43A7-86F1-F4AC4662CCEA}</author>
  </authors>
  <commentList>
    <comment ref="H11" authorId="0" shapeId="0" xr:uid="{CCF27156-8C38-4FD9-BC7D-CF859D4B869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de R$ 599,70 entrou e saiu na movimentação, por este motivo foi deduzido nesta célula.</t>
      </text>
    </comment>
    <comment ref="I11" authorId="1" shapeId="0" xr:uid="{ACEAFD6A-CF6C-4D5A-B3B0-C4F14F890FE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de R$ 599,70 entrou e saiu na movimentação, por este motivo foi deduzido nesta célula.</t>
      </text>
    </comment>
    <comment ref="I17" authorId="2" shapeId="0" xr:uid="{4DFD422B-3642-43A7-86F1-F4AC4662CCE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de R$ 599,70 entrou e saiu na movimentação, por este motivo foi deduzido nesta célula.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tc={8DA9EFB0-92BA-4821-8279-AAF4DB5B3C86}</author>
  </authors>
  <commentList>
    <comment ref="M53" authorId="0" shapeId="0" xr:uid="{8DA9EFB0-92BA-4821-8279-AAF4DB5B3C8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baixa foi efetuada antes da transf. do projeto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Jacqueline Medeiros Jaquetta</author>
  </authors>
  <commentList>
    <comment ref="A11" authorId="0" shapeId="0" xr:uid="{9E907A5A-0ED2-433C-BAA5-F7A64FE0E3B0}">
      <text>
        <r>
          <rPr>
            <b/>
            <sz val="9"/>
            <color indexed="81"/>
            <rFont val="Segoe UI"/>
            <family val="2"/>
          </rPr>
          <t>Jacqueline Medeiros Jaquetta:</t>
        </r>
        <r>
          <rPr>
            <sz val="9"/>
            <color indexed="81"/>
            <rFont val="Segoe UI"/>
            <family val="2"/>
          </rPr>
          <t xml:space="preserve">
vlr. ref. depreciação acumulada dos ativos das empreas participantes do csc </t>
        </r>
      </text>
    </comment>
    <comment ref="A14" authorId="0" shapeId="0" xr:uid="{7B065AE5-5417-48D7-A51C-4818CA8E8CFC}">
      <text>
        <r>
          <rPr>
            <b/>
            <sz val="9"/>
            <color indexed="81"/>
            <rFont val="Segoe UI"/>
            <family val="2"/>
          </rPr>
          <t>Jacqueline Medeiros Jaquetta:</t>
        </r>
        <r>
          <rPr>
            <sz val="9"/>
            <color indexed="81"/>
            <rFont val="Segoe UI"/>
            <family val="2"/>
          </rPr>
          <t xml:space="preserve">
vlr. ref. depreciação acumulada dos ativos das empreas participantes do csc </t>
        </r>
      </text>
    </comment>
    <comment ref="A17" authorId="0" shapeId="0" xr:uid="{4E077DF5-0A5C-4E32-9B1C-810E95ECE8DF}">
      <text>
        <r>
          <rPr>
            <b/>
            <sz val="9"/>
            <color indexed="81"/>
            <rFont val="Segoe UI"/>
            <family val="2"/>
          </rPr>
          <t>Jacqueline Medeiros Jaquetta:</t>
        </r>
        <r>
          <rPr>
            <sz val="9"/>
            <color indexed="81"/>
            <rFont val="Segoe UI"/>
            <family val="2"/>
          </rPr>
          <t xml:space="preserve">
vlr. ref. depreciação acumulada dos ativos das empreas participantes do csc </t>
        </r>
      </text>
    </comment>
    <comment ref="A21" authorId="0" shapeId="0" xr:uid="{46A76467-0128-4FBC-A559-4A2A67BEBFB4}">
      <text>
        <r>
          <rPr>
            <b/>
            <sz val="9"/>
            <color indexed="81"/>
            <rFont val="Segoe UI"/>
            <family val="2"/>
          </rPr>
          <t>Jacqueline Medeiros Jaquetta:</t>
        </r>
        <r>
          <rPr>
            <sz val="9"/>
            <color indexed="81"/>
            <rFont val="Segoe UI"/>
            <family val="2"/>
          </rPr>
          <t xml:space="preserve">
vlr. ref. depreciação acumulada dos ativos das empreas participantes do csc </t>
        </r>
      </text>
    </comment>
    <comment ref="A67" authorId="0" shapeId="0" xr:uid="{392EE08A-C645-4CA8-A0EB-93F3572B26CE}">
      <text>
        <r>
          <rPr>
            <b/>
            <sz val="9"/>
            <color indexed="81"/>
            <rFont val="Segoe UI"/>
            <family val="2"/>
          </rPr>
          <t>Jacqueline Medeiros Jaquetta:</t>
        </r>
        <r>
          <rPr>
            <sz val="9"/>
            <color indexed="81"/>
            <rFont val="Segoe UI"/>
            <family val="2"/>
          </rPr>
          <t xml:space="preserve">
vlr. ref. depreciação acumulada dos ativos das empreas participantes do csc </t>
        </r>
      </text>
    </comment>
  </commentList>
</comments>
</file>

<file path=xl/sharedStrings.xml><?xml version="1.0" encoding="utf-8"?>
<sst xmlns="http://schemas.openxmlformats.org/spreadsheetml/2006/main" count="2010" uniqueCount="1312">
  <si>
    <t>PLANO
CONTA</t>
  </si>
  <si>
    <t>DESCRIÇÃO</t>
  </si>
  <si>
    <t>IMOBILIZADO</t>
  </si>
  <si>
    <t>EDIFICAÇÕES</t>
  </si>
  <si>
    <t>INSTALAÇÕES</t>
  </si>
  <si>
    <t>INSTALAÇÕES - CSC HTSP</t>
  </si>
  <si>
    <t>INSTALAÇÕES - CSC PARTICIPANTES</t>
  </si>
  <si>
    <t>SIST. COMUNICAÇÕES</t>
  </si>
  <si>
    <t>MÁQUINAS E EQUIPAMENTOS</t>
  </si>
  <si>
    <t>MÁQUINAS E EQUIPAMENTOS - CSC HTSP</t>
  </si>
  <si>
    <t>MÁQUINAS E EQUIPAMENTOS - CSC PARTICIPANTES</t>
  </si>
  <si>
    <t>EQUIPAMENTO PROC. DADOS</t>
  </si>
  <si>
    <t>EQUIPAMENTO PROC. DADOS  - ARREDAMENTO MERCANTIL</t>
  </si>
  <si>
    <t>EQUIPAMENTO PROC. DADOS - CSC HTSP</t>
  </si>
  <si>
    <t>EQUIPAMENTO PROC. DADOS - CSC PARTICIPANTES</t>
  </si>
  <si>
    <t>MÓVEIS E UTENSÍLIOS</t>
  </si>
  <si>
    <t>MÓVEIS E UTENSÍLIOS - CSC HTSP</t>
  </si>
  <si>
    <t>MÓVEIS E UTENSÍLIOS - CSC PARTICIPANTES</t>
  </si>
  <si>
    <t>VEÍCULOS</t>
  </si>
  <si>
    <t>OBRAS DE ARTE</t>
  </si>
  <si>
    <t>MATERIAL DE SERVIÇO</t>
  </si>
  <si>
    <t>VIDROS E CRISTAIS</t>
  </si>
  <si>
    <t>LOUÇAS E PORCELANAS</t>
  </si>
  <si>
    <t>PRATARIA E INOX</t>
  </si>
  <si>
    <t>CONFECCÇÕES PARA CAMA</t>
  </si>
  <si>
    <t>DEPRECIAÇÃO ACUMULADAS</t>
  </si>
  <si>
    <t>EQUIPAMENTO PROC. DADOS - ARRENDAMENTO MERCANTIL</t>
  </si>
  <si>
    <t>PROJETOS</t>
  </si>
  <si>
    <t>PROJETO REFORMA SALAS DE EVENTOS</t>
  </si>
  <si>
    <t>PROJETO REFORMA GERAL APTOS NORTE/SUL</t>
  </si>
  <si>
    <t>PROJETO SISTEMA CFTV</t>
  </si>
  <si>
    <t>PROJETO REFORMA DE SALAS DA DIRETORIA</t>
  </si>
  <si>
    <t>PROJETO RETROFIT ILUMINAÇÃO HTSP</t>
  </si>
  <si>
    <t>PROJETO REFORMA CSC</t>
  </si>
  <si>
    <t>PROJETO REFORMA CSC - FASE 2</t>
  </si>
  <si>
    <t>PROJETO QUIOSQUE LA BASQUE TEC</t>
  </si>
  <si>
    <t>DEPRECIAÇÃO ACUMULADA AJUSTE CPC27</t>
  </si>
  <si>
    <t>EDIFICAÇÃO</t>
  </si>
  <si>
    <t>EQUIPAMENTOS PROCESSAMENTO DE DADOS</t>
  </si>
  <si>
    <t>MÓVEIS E UTENSÍLIOIS</t>
  </si>
  <si>
    <t>CONFECÇÕES PARA CAMA</t>
  </si>
  <si>
    <t>MATERIAIS DE SERVIÇOS</t>
  </si>
  <si>
    <t>IMOBILIZADO LEI 8200</t>
  </si>
  <si>
    <t>EDIFICAÇÕES - AMPL.</t>
  </si>
  <si>
    <t>INSTALAÇÕES - AMPL.</t>
  </si>
  <si>
    <t>MAQUINAS E EQUIPAMENTOS</t>
  </si>
  <si>
    <t>MOVEIS E UTENSILIOS. HOSP.</t>
  </si>
  <si>
    <t xml:space="preserve">OBRAS DE ARTE </t>
  </si>
  <si>
    <t>DEPRECIAÇÃO ACUMULADAS LEI 8200..</t>
  </si>
  <si>
    <t>EDIFICAÇÕES-AMPL</t>
  </si>
  <si>
    <t>INSTALAÇÕES-AMPL.</t>
  </si>
  <si>
    <t>MOVEIS UTENS. HOSP.</t>
  </si>
  <si>
    <t>IMOBILIZADO INTANGÍVEL</t>
  </si>
  <si>
    <t>INTANGÍVEL</t>
  </si>
  <si>
    <t>MARCAS E PATENTES</t>
  </si>
  <si>
    <t>CESSÃO USO DE SOFTWARE</t>
  </si>
  <si>
    <t>CESSÃO USO DE SOFTWARE - CSC HTSP</t>
  </si>
  <si>
    <t>CESSÃO USO DE SOFTWARE - CSC PARTICIPANTES</t>
  </si>
  <si>
    <t>INTANGÍVEL LEI 8200</t>
  </si>
  <si>
    <t xml:space="preserve">EQUIPAMENTO PROC. DADOS </t>
  </si>
  <si>
    <t>PROJETO IMPLANTAÇÃO - ALIMENTOS E BEBIDAS</t>
  </si>
  <si>
    <t>DIFERIDO</t>
  </si>
  <si>
    <t>PROJETO REFORMA DO RESTAURANTE VERBENA</t>
  </si>
  <si>
    <t>CESSÃO USO DE SOFTWARE - SCS HTSP</t>
  </si>
  <si>
    <t>PROJETO REFORMA CSC - FASE 3</t>
  </si>
  <si>
    <t>PROJETO REFORMA CSC - FASE 4</t>
  </si>
  <si>
    <t>[ HTSP     ]</t>
  </si>
  <si>
    <t>Pag.    1</t>
  </si>
  <si>
    <t>EMPRESA</t>
  </si>
  <si>
    <t>[ rlctb001 ]</t>
  </si>
  <si>
    <t>ATIVO</t>
  </si>
  <si>
    <t>NIV</t>
  </si>
  <si>
    <t>SALDO ANTERIOR</t>
  </si>
  <si>
    <t>DEBITOS</t>
  </si>
  <si>
    <t>CREDITOS</t>
  </si>
  <si>
    <t>SALDO ATUAL</t>
  </si>
  <si>
    <t>ATIVO....................................</t>
  </si>
  <si>
    <t>ATIVO CIRCULANTE........................</t>
  </si>
  <si>
    <t>DISPONIVEL.............................</t>
  </si>
  <si>
    <t>CAIXA FUNDO FIXO......................</t>
  </si>
  <si>
    <t>CAIXA FUNDO FIXO-TESOURARIA GERAL.</t>
  </si>
  <si>
    <t>CAIXA FUNDO FIXO - COMPRAS/SP.</t>
  </si>
  <si>
    <t>CAIXA FUNDO FIXO - RECEPCAO.</t>
  </si>
  <si>
    <t>CAIXA FUNDO FIXO - P.D.V.</t>
  </si>
  <si>
    <t>CAIXA FUNDO FIXO - LA BASQUE.</t>
  </si>
  <si>
    <t>CAIXA GERAL OPERACIONAL.</t>
  </si>
  <si>
    <t>BANCOS CONTA MOVIMENTO................</t>
  </si>
  <si>
    <t>BANCO SANTANDER-AG. CORPORATE(0689).</t>
  </si>
  <si>
    <t>BANCO SANTANDER-REFORMA SALAS-3689.</t>
  </si>
  <si>
    <t>BANCO BRADESCO (CORPORATE) AG 2372.</t>
  </si>
  <si>
    <t>BCO SANTANDER FILIAL TEC.</t>
  </si>
  <si>
    <t>(-) CHEQUES NAO COMPENSADOS.</t>
  </si>
  <si>
    <t>APLICACOES DE LIQUIDEZ IMEDIATA.......</t>
  </si>
  <si>
    <t>BRADESCO-FUNDO INVEST. OMICRON.</t>
  </si>
  <si>
    <t>BCO SANTANDER APLIC.CONTAMAX EMPRES.</t>
  </si>
  <si>
    <t>BRADESCO-FUNDO INVEST FACIL.</t>
  </si>
  <si>
    <t>B.SANTANDER-REFORMA APLIC CONTAMAX.</t>
  </si>
  <si>
    <t>CLIENTES...............................</t>
  </si>
  <si>
    <t>CLIENTES.</t>
  </si>
  <si>
    <t>TITULOS A RECEBER- FILIAL TEC.</t>
  </si>
  <si>
    <t>TITULOS A RECEBER.</t>
  </si>
  <si>
    <t>TITULOS - PARTE RELACIONADAS..........</t>
  </si>
  <si>
    <t>PASSAPORTE BRASIL VIAGENS E EVENTOS.</t>
  </si>
  <si>
    <t>INSTITUTO ALFA DE CULTURA.</t>
  </si>
  <si>
    <t>TRANSAMERICA COMERCIAL E SERVICOS.</t>
  </si>
  <si>
    <t>TRANSAMERICA EXPO CENTER.</t>
  </si>
  <si>
    <t>CARTOES DE CREDITO....................</t>
  </si>
  <si>
    <t>AMERICAN EXPRESS.</t>
  </si>
  <si>
    <t>REDECARD.</t>
  </si>
  <si>
    <t>PERMUTAS A RECEBER....................</t>
  </si>
  <si>
    <t>SUPERBRANDS LIMITED ( PERMUTA ).</t>
  </si>
  <si>
    <t>TRADAQ.</t>
  </si>
  <si>
    <t>EDITORA MEIO E MENSAGEM LTDA.</t>
  </si>
  <si>
    <t>AMPLA ENERGIA E SERVICOS S.A..</t>
  </si>
  <si>
    <t>LSA TRAVEL &amp; MARKETING SOLUTIONS.</t>
  </si>
  <si>
    <t>ALAGEV - ASSOCIACAO LATINO AMERICAN.</t>
  </si>
  <si>
    <t>(-)PROVISAO P/CRED.LIQUID.DUVIDOSA.</t>
  </si>
  <si>
    <t>ESTOQUES...............................</t>
  </si>
  <si>
    <t>ALMOXARIFADOS.........................</t>
  </si>
  <si>
    <t>ALMOX. GEN. ALIMENTICIOS.</t>
  </si>
  <si>
    <t>ALMOX. BEBIDAS NAO ALCOOL.</t>
  </si>
  <si>
    <t>ALMOX. BEBIDAS ALCOOL.</t>
  </si>
  <si>
    <t>ALMOX. VINHOS / CHAMPAGNES.</t>
  </si>
  <si>
    <t>ALMOX. DE IMPRESSOS.</t>
  </si>
  <si>
    <t>ALMOX. MATL DE ESCRITORIO.</t>
  </si>
  <si>
    <t>ALMOX. MATL DE LIMPEZA.</t>
  </si>
  <si>
    <t>ALMOX. MATL A&amp;B.</t>
  </si>
  <si>
    <t>ALMOX. MATL PROMOCIONAL.</t>
  </si>
  <si>
    <t>ALMOX. MATL APARTAMENTOS.</t>
  </si>
  <si>
    <t>ALMOX. MATL DE MANUTENCAO.</t>
  </si>
  <si>
    <t>ALMOX. MATERIAL SEGURANCA TRABALHO.</t>
  </si>
  <si>
    <t>CREDITOS DIVERSOS......................</t>
  </si>
  <si>
    <t>LOCACOES A RECEBER.</t>
  </si>
  <si>
    <t>CONTAS A RECEBER.</t>
  </si>
  <si>
    <t>DEBITOS A REGULARIZAR.</t>
  </si>
  <si>
    <t>CONTAS RECEBER - PARTE RELACIONADAS...</t>
  </si>
  <si>
    <t>TRANSAMERICA COMERCIAL SERVICOS.</t>
  </si>
  <si>
    <t>RADIO TRANSAMERICA.</t>
  </si>
  <si>
    <t>PASSAPORTE BRASIL VIAGENS EVENTOS.</t>
  </si>
  <si>
    <t>TRANSAMERICA DE HOTEIS NORDESTE LTD.</t>
  </si>
  <si>
    <t>SOUBACH.</t>
  </si>
  <si>
    <t>AGUAS PRATA.</t>
  </si>
  <si>
    <t>LA BASQUE.</t>
  </si>
  <si>
    <t>IMPOSTOS A COMPENSAR...................</t>
  </si>
  <si>
    <t>IMPOSTOS A COMPENSAR..................</t>
  </si>
  <si>
    <t>IR S/ APLIC. TIT. VALS MOBLS.</t>
  </si>
  <si>
    <t>I.R.P.J.(EMPRESAS ESTATAL ).</t>
  </si>
  <si>
    <t>C.S.L.L.(EMPRESAS ESTATAL ).</t>
  </si>
  <si>
    <t>COFINS ( EMPRESAS ESTATAL ).</t>
  </si>
  <si>
    <t>PIS ( EMPRESAS ESTATAL ).</t>
  </si>
  <si>
    <t>ISS A COMPENSAR ( LEI MENDONCA ).</t>
  </si>
  <si>
    <t>C.S.L.L. A COMP. AB.2017.</t>
  </si>
  <si>
    <t>I.R.P.J. A COMP. AB. 2017.</t>
  </si>
  <si>
    <t>IMPOSTOS A RECUPERAR..................</t>
  </si>
  <si>
    <t>ICMS A RECUPERAR - SAIDAS.</t>
  </si>
  <si>
    <t>IMPOSTOS A RESTITUIR..................</t>
  </si>
  <si>
    <t>IR A REST. DR / 92.</t>
  </si>
  <si>
    <t>IR A REST. DR / 93.</t>
  </si>
  <si>
    <t>IR A REST. DR / 94.</t>
  </si>
  <si>
    <t>ADIANTAMENTOS..........................</t>
  </si>
  <si>
    <t>ADIANTAMENTO A FUNCIONARIOS...........</t>
  </si>
  <si>
    <t>ADTO QUINZENAL.</t>
  </si>
  <si>
    <t>ADTO DE VENCIMENTOS.</t>
  </si>
  <si>
    <t>ADTO VALE TRANSPORTE.</t>
  </si>
  <si>
    <t>VALE REFEICAO.</t>
  </si>
  <si>
    <t>ADTO ASSIST. FARMACEUTICA.</t>
  </si>
  <si>
    <t>ADTO ASSIST. ODONTOLOGICA.</t>
  </si>
  <si>
    <t>ADTO ASSIST. MEDICA.</t>
  </si>
  <si>
    <t>ADTO DE FERIAS.</t>
  </si>
  <si>
    <t>ADTO 13. SALARIO.</t>
  </si>
  <si>
    <t>ADIANTAMENTOS-COMISSOES AG. VIAGENS.</t>
  </si>
  <si>
    <t>ADIANTAMENTO A FORNECEDORES.</t>
  </si>
  <si>
    <t>ADIANTAMENTOS DIVERSOS.</t>
  </si>
  <si>
    <t>DESPESAS ANTECIPADAS...................</t>
  </si>
  <si>
    <t>SEGUROS.</t>
  </si>
  <si>
    <t>UNIFORMES E VESTUARIOS.</t>
  </si>
  <si>
    <t>CONTRATOS.</t>
  </si>
  <si>
    <t>GUARN. CAMA/MESA/BANHO.</t>
  </si>
  <si>
    <t>IPTU.</t>
  </si>
  <si>
    <t>ATIVO NAO CIRCULANTE....................</t>
  </si>
  <si>
    <t>REALIZAVEL A LONGO PRAZO...............</t>
  </si>
  <si>
    <t>DEPOSITOS JUDICIAIS...................</t>
  </si>
  <si>
    <t>IRPJ-DEDUCAO DA C.S.L.L.</t>
  </si>
  <si>
    <t>PROCESSO INSS - FAP.</t>
  </si>
  <si>
    <t>DIVIDA ATIVA- IRPJ FONTE 1.999.</t>
  </si>
  <si>
    <t>ICMS S/ TRANSFERENCIAS P/ FILIAL.</t>
  </si>
  <si>
    <t>TARIFA TUSD - ENERGIA ELETRICA.</t>
  </si>
  <si>
    <t>OPCOES P/ INCENTIVOS FISCAIS..........</t>
  </si>
  <si>
    <t>FINAM.</t>
  </si>
  <si>
    <t>(-) PROVISAO P/ DESVALORIZACAO.</t>
  </si>
  <si>
    <t>DEPOSITOS JUDICIAIS - ACOES TRABALH...</t>
  </si>
  <si>
    <t>GEORGE DOS SANTOS LEAO.</t>
  </si>
  <si>
    <t>GILDO DA CRUZ NASCIMENTO.</t>
  </si>
  <si>
    <t>GERSON FLORENCIO DE ARAUJO.</t>
  </si>
  <si>
    <t>GILMAR RAFAEL DANTAS.</t>
  </si>
  <si>
    <t>ANDRE DOS SANTOS BISPO.</t>
  </si>
  <si>
    <t>GENIVAL RIBEIRO DE ALMEIDA.</t>
  </si>
  <si>
    <t>MANOEL SEVERINO DA SILVA.</t>
  </si>
  <si>
    <t>ALAN BISPO DA SILVA.</t>
  </si>
  <si>
    <t>LUCIEUDO GOMES SILVANO.</t>
  </si>
  <si>
    <t>ELIAS DA SILVA MENDES.</t>
  </si>
  <si>
    <t>JOAO CARLOS ANUNCIACAO.</t>
  </si>
  <si>
    <t>CLEMENTINO PEREIRA DOS SANTOS.</t>
  </si>
  <si>
    <t>ANTONIO THIAGO DE SOUSA TOMAZ.</t>
  </si>
  <si>
    <t>VALMIR FERREIRA CAVALCANTI.</t>
  </si>
  <si>
    <t>PEDRO FERNANDES SOBRINHO.</t>
  </si>
  <si>
    <t>MAGNOLIA ALVES DA SILA.</t>
  </si>
  <si>
    <t>MARCIO AUGUSTO DA SILVA.</t>
  </si>
  <si>
    <t>RENAN DE ALMEIDA RODRIGUES.</t>
  </si>
  <si>
    <t>SINVALDO JESUS NOVAIS.</t>
  </si>
  <si>
    <t>CASSIMIRO DOS SANTOS AMARAL.</t>
  </si>
  <si>
    <t>SHEILA RIBEIRO DA SILVA.</t>
  </si>
  <si>
    <t>FRANCISCO DAS CHAGAS SANTOS.</t>
  </si>
  <si>
    <t>JULIO DE JESUS.</t>
  </si>
  <si>
    <t>RAFAEL DE SOUZA CORREIA.</t>
  </si>
  <si>
    <t>FRANCISCO FERNANDES DE BRITO.</t>
  </si>
  <si>
    <t>FABIO ANTONIO DA SILVEIRA.</t>
  </si>
  <si>
    <t>JOSE CLAMILTON.</t>
  </si>
  <si>
    <t>SONIA SOARES RIBEIRO.</t>
  </si>
  <si>
    <t>INVESTIMENTOS..........................</t>
  </si>
  <si>
    <t>APLICACOES INCENTIVOS FISCAIS.........</t>
  </si>
  <si>
    <t>CIA REFINADORA DA AMAZONIA.</t>
  </si>
  <si>
    <t>AGROPALMA.</t>
  </si>
  <si>
    <t>IMOBILIZADO ...........................</t>
  </si>
  <si>
    <t>IMOBILIZADO...........................</t>
  </si>
  <si>
    <t>EDIFICACOES E INSTALACOES............</t>
  </si>
  <si>
    <t>EDIFICACOES.</t>
  </si>
  <si>
    <t>INSTALACOES.</t>
  </si>
  <si>
    <t>INSTALACOES - CSC HTSP.</t>
  </si>
  <si>
    <t>INSTALACOES - CSC PARTICANTES.</t>
  </si>
  <si>
    <t>MAQUINAS E EQUIPAMENTOS..............</t>
  </si>
  <si>
    <t>MAQUINAS E EQUIPAMENTOS.</t>
  </si>
  <si>
    <t>MAQUINAS E EQUIPAMENTOS - CSC HTSP.</t>
  </si>
  <si>
    <t>MAQUINAS E EQUIPAMENTOS CSC PARTIC..</t>
  </si>
  <si>
    <t>EQUIP. PROC. DE DADOS.</t>
  </si>
  <si>
    <t>EQUIP.PROC.DADOS-ARREND.MERCANTIL.</t>
  </si>
  <si>
    <t>EQUIP. PROC. DE DADOS - CSC HTSP.</t>
  </si>
  <si>
    <t>EQUIP PROC DADOS - CSC PARTICIPANTE.</t>
  </si>
  <si>
    <t>MOVEIS E UTENSILIOS..................</t>
  </si>
  <si>
    <t>MOVEIS E UTENSILIOS - CSC HTSP.</t>
  </si>
  <si>
    <t>MOVEIS UTENSILIOS- CSC PARTICIPANTE.</t>
  </si>
  <si>
    <t>VEICULOS.............................</t>
  </si>
  <si>
    <t>VEICULOS.</t>
  </si>
  <si>
    <t>OBRAS DE ARTE........................</t>
  </si>
  <si>
    <t>OBRAS DE ARTE.</t>
  </si>
  <si>
    <t>MATERIAL DE SERVICOS.................</t>
  </si>
  <si>
    <t>MATERIAL DE SERVICOS.</t>
  </si>
  <si>
    <t>VIDROS E CRISTAIS.</t>
  </si>
  <si>
    <t>LOUCAS E PORCELANAS.</t>
  </si>
  <si>
    <t>PRATARIA E INOX.</t>
  </si>
  <si>
    <t>CONFECCOES PARA CAMA.</t>
  </si>
  <si>
    <t>(-) DEPRECIACOES ACUMULADAS..........</t>
  </si>
  <si>
    <t>PROJETOS.............................</t>
  </si>
  <si>
    <t>PROJETO REFORMA SALAS DE EVENTOS.</t>
  </si>
  <si>
    <t>PROJ. REFORMA GERAL APTOS NORTE/SUL.</t>
  </si>
  <si>
    <t>PROJETO SISTEMA CFTV.</t>
  </si>
  <si>
    <t>PROJETO REFORMA SALAS DA DIRETORIA.</t>
  </si>
  <si>
    <t>PROJETO RETROFIT ILUMINACAO HTSP.</t>
  </si>
  <si>
    <t>PROJETO REFORMA CSC - FASE 4.</t>
  </si>
  <si>
    <t>PROJETO REFORMA AMPLIACAO FASE 1.</t>
  </si>
  <si>
    <t>IMOBILIZADO INTANGIVEL ................</t>
  </si>
  <si>
    <t>INTANGIVEL ...........................</t>
  </si>
  <si>
    <t>MARCAS E PATENTES....................</t>
  </si>
  <si>
    <t>MARCAS E PATENTES.</t>
  </si>
  <si>
    <t>CESSAO USO SOFTWARE .................</t>
  </si>
  <si>
    <t>CESSAO USO SOFTWARE.</t>
  </si>
  <si>
    <t>CESSAO USO SOFTWARE - CSC HTSP.</t>
  </si>
  <si>
    <t>CESSAO USO SOFTWARE - CSC PARTIC..</t>
  </si>
  <si>
    <t>CONTAS DE COMPENSACAO...................</t>
  </si>
  <si>
    <t>TITULOS EM COBRANCA....................</t>
  </si>
  <si>
    <t>TITULOS EM COBRANCA.</t>
  </si>
  <si>
    <t>MERCADORIA EM CONSIGNACAO..............</t>
  </si>
  <si>
    <t>MERCADORIA EM CONSIGNACAO.</t>
  </si>
  <si>
    <t>P A S S I V O............................</t>
  </si>
  <si>
    <t>PASSIVO CIRCULANTE......................</t>
  </si>
  <si>
    <t>FORNECEDORES...........................</t>
  </si>
  <si>
    <t>GARBO SA.</t>
  </si>
  <si>
    <t>TERRA BRASIL HORTI FRUTI LTDA.</t>
  </si>
  <si>
    <t>PHENOMENA ASSES REC HUM LTDA.</t>
  </si>
  <si>
    <t>CLARO S.A.</t>
  </si>
  <si>
    <t>CIA SANEAMENTO BASICO DE SP.</t>
  </si>
  <si>
    <t>CR SISTEMAS LTDA..</t>
  </si>
  <si>
    <t>DEBORAH ROSALINE ORR..</t>
  </si>
  <si>
    <t>SODEXO PASS DO BR SERVICOS INOVACAO.</t>
  </si>
  <si>
    <t>ATMOSFERA GESTAO E HIGIEN.TEXTEIS.</t>
  </si>
  <si>
    <t>J.MUNHOZ &amp; CIA.LTDA..</t>
  </si>
  <si>
    <t>ELETROPAULO ELETRIC DE SP.</t>
  </si>
  <si>
    <t>EHTL RESERVAS ONLINE HOTEIS LTDA.</t>
  </si>
  <si>
    <t>WEBBUSINESS SERV.INFORMATICA LTDA.</t>
  </si>
  <si>
    <t>TELEFONICA S/A.</t>
  </si>
  <si>
    <t>ETL SISTEMAS LTDA.</t>
  </si>
  <si>
    <t>TOTAL FLEET S/A.</t>
  </si>
  <si>
    <t>ESCALADA AUTO POSTO LTDA.</t>
  </si>
  <si>
    <t>BOMBAY FOOD SERVICE ALIMENTOS LTDA.</t>
  </si>
  <si>
    <t>BRF - BRASIL FOODS S/A.</t>
  </si>
  <si>
    <t>MV EXPRESS DISTRIBUIDORA DE BEBIDAS.</t>
  </si>
  <si>
    <t>BANDA VOGUE EVENTOS ARTISTICO LTDA.</t>
  </si>
  <si>
    <t>SERVICOS DE ENTREGAS PERSONAL EXPR.</t>
  </si>
  <si>
    <t>PRISTAR SOL.INTEGRADA DE LIMPEZA.</t>
  </si>
  <si>
    <t>HARUS IND.COM.COSMETICO LTDA.</t>
  </si>
  <si>
    <t>USETINTAS COM.TINTAS E ACESSORIOS.</t>
  </si>
  <si>
    <t>DARGON DISTRIB.DE ALIMENTOS LTDA..</t>
  </si>
  <si>
    <t>EMPORIO TARFUFI IMP.EXP.ALIMENTOS.</t>
  </si>
  <si>
    <t>GASPI &amp; RIBEIRO SERV ELAB DE RELAT.</t>
  </si>
  <si>
    <t>FRUTAS FRESCA HORTIFRUTIGRANJEIROS.</t>
  </si>
  <si>
    <t>PROSEGUR TEC.SIST.SEG.ELET.INCENDIO.</t>
  </si>
  <si>
    <t>DC MATRIX INTERNET S/A.</t>
  </si>
  <si>
    <t>RCS SAUDE AMBIENTAL DO TRABALHADOR.</t>
  </si>
  <si>
    <t>HOTEL INFO RESERVAS HOTELEIRAS LTDA.</t>
  </si>
  <si>
    <t>INGRAM MICRO BRASIL LTDA.</t>
  </si>
  <si>
    <t>COLUMBIA COMERCIO DE DESCARTAVEIS.</t>
  </si>
  <si>
    <t>IVESS COMERCIO DE RACOES LTDA.</t>
  </si>
  <si>
    <t>ECOMASTER QUIMICA IND.E COM.LTDA.</t>
  </si>
  <si>
    <t>WF PROD.DEINFORMATICA LTDA.</t>
  </si>
  <si>
    <t>PROTEUS SOLUCOES EM SEG INFR LTDA.</t>
  </si>
  <si>
    <t>TREND VIAGENS OPER TURISMO LTDA.</t>
  </si>
  <si>
    <t>BEMATECH HARDWARE LTDA.</t>
  </si>
  <si>
    <t>LUCIANE GIROTO VIAGENS TURISMO LTDA.</t>
  </si>
  <si>
    <t>ECOQUEST DO BRASIL COM IMP LTDA.</t>
  </si>
  <si>
    <t>UNISTILO CONFECCAO COM ROUPAS LTDA.</t>
  </si>
  <si>
    <t>OMEGA YK FABRICA DE ALIMENTOS LTDA.</t>
  </si>
  <si>
    <t>MULTI POINT &amp; INFORMATICA EIRELI ME.</t>
  </si>
  <si>
    <t>FG7 COMERCIO DE DISTRIB. BEBIDAS EI.</t>
  </si>
  <si>
    <t>AGROLUCAS DISTRIBUIDORA EIRELI.</t>
  </si>
  <si>
    <t>R CERVELLINI REVESTIMENTOS LTDA.</t>
  </si>
  <si>
    <t>MODAS 1031 EIRELI.</t>
  </si>
  <si>
    <t>TQTVD SOFTWARE LTDA.</t>
  </si>
  <si>
    <t>KERINA SOFTWARE LTDA.</t>
  </si>
  <si>
    <t>SAINT PAUL EDUCACIONAL LTDA.</t>
  </si>
  <si>
    <t>VS TELECOM LTDA.</t>
  </si>
  <si>
    <t>EVENTOSSPCOOP COOP TRAB SERV AT E.E.</t>
  </si>
  <si>
    <t>CORINGA ALIMENTOS LTDA.</t>
  </si>
  <si>
    <t>ARQUIVO LOGISTICA DE DOCS EIRELI.</t>
  </si>
  <si>
    <t>DC MATRIX TELECOMUNICACOES S/A.</t>
  </si>
  <si>
    <t>NEOLAT COMERCIO DE LATICINIOS LTDA.</t>
  </si>
  <si>
    <t>INSTITUTO MUDA BRASIL.</t>
  </si>
  <si>
    <t>VB SERVICOS COMERCIO E ADM LTDA.</t>
  </si>
  <si>
    <t>RONALDO DE ANGELANTONIO.</t>
  </si>
  <si>
    <t>ELEVADORES ATLAS S/A.</t>
  </si>
  <si>
    <t>MARINGA PASSAGEN E TURISMO LTDA.</t>
  </si>
  <si>
    <t>BANDEIRANTES REFRIGERACAO COMERCIAL.</t>
  </si>
  <si>
    <t>MULTILIXO REMOCOES DE LIXO S/C LTDA.</t>
  </si>
  <si>
    <t>WAPA FERRAGENS E FERRAMENTAS LTDA.</t>
  </si>
  <si>
    <t>MONTE VERDE CONGELADOS LTDA.</t>
  </si>
  <si>
    <t>TRANSAMERICA EXPO CENTER LTDA.</t>
  </si>
  <si>
    <t>DISTR IMPORT IRMAOS AVELINO LTDA.</t>
  </si>
  <si>
    <t>VINHAIS COM IMP EXP ALIMENTOS LTDA.</t>
  </si>
  <si>
    <t>TIM SA.</t>
  </si>
  <si>
    <t>BBTUR VIAGENS E TURISMO LTDA.</t>
  </si>
  <si>
    <t>MELHORAMENTOS PAPEIS LTDA.</t>
  </si>
  <si>
    <t>AROSA PRODUTOS ALIMENTICIOS LTDA.</t>
  </si>
  <si>
    <t>CITRO CARDILLI COM IMP EXP LTDA.</t>
  </si>
  <si>
    <t>ABX TELECOM LTDA.</t>
  </si>
  <si>
    <t>ESTRELA DO SUL SAUDE AMBIENTAL.</t>
  </si>
  <si>
    <t>TH MAX COMECIO DE FERRAGENS LTDA.</t>
  </si>
  <si>
    <t>ABGEV-ASS.BRASIL.GEST.VIAGENS CORP..</t>
  </si>
  <si>
    <t>FORNECEDORES - PARTES RELACIONADAS.....</t>
  </si>
  <si>
    <t>METRO TECNOLOGIA LTDA.</t>
  </si>
  <si>
    <t>IMPOSTOS E CONTRIBUICOES...............</t>
  </si>
  <si>
    <t>IMPOSTOS E CONTRIBUICOES A PAGAR......</t>
  </si>
  <si>
    <t>COFINS COD REC 2172.</t>
  </si>
  <si>
    <t>PIS S/ FAT.COD REC 6912.</t>
  </si>
  <si>
    <t>ICMS A PAGAR.</t>
  </si>
  <si>
    <t>ICMS INTERESTADUAL.</t>
  </si>
  <si>
    <t>ISS S/ FATURAMENTO.</t>
  </si>
  <si>
    <t>INSS S/ FOLHA COD REC 2100.</t>
  </si>
  <si>
    <t>IR S/ FOLHA - COD.0561.</t>
  </si>
  <si>
    <t>IPTU A PAGAR.</t>
  </si>
  <si>
    <t>FGTS S/ FOLHA.</t>
  </si>
  <si>
    <t>CONTRIB.PREVID.S/FAT-(COD REC 2985).</t>
  </si>
  <si>
    <t>IMPOSTOS E CONTRIB. TERCEIROS RECOL...</t>
  </si>
  <si>
    <t>ISS S/TERCEIROS( P.JURIDICA 5% ).</t>
  </si>
  <si>
    <t>IR S/ COOP TRABALHO - COD.3280.</t>
  </si>
  <si>
    <t>IR SOC. CIVIL - COD.1708.</t>
  </si>
  <si>
    <t>IR AG. VIAGEM - COD.8045.</t>
  </si>
  <si>
    <t>FUNRURAL.</t>
  </si>
  <si>
    <t>CSLL/COFINS E PIS - COD.5952.</t>
  </si>
  <si>
    <t>COFINS - COD. 5960.</t>
  </si>
  <si>
    <t>INSS S/ CESSAO MAO DE OBRA/EMPREIT....</t>
  </si>
  <si>
    <t>OBRIGACOES PREVID./TRABALHISTAS........</t>
  </si>
  <si>
    <t>SALARIOS E ORDENADOS.</t>
  </si>
  <si>
    <t>COMISSOES VENDAS/EVENTOS/RESERVAS.</t>
  </si>
  <si>
    <t>CONTRIBUICAO CUSTEIO.</t>
  </si>
  <si>
    <t>CONTRIBUICAO ASSISTENCIAL.</t>
  </si>
  <si>
    <t>ASSISTENCIA ODONTOLOGICA.</t>
  </si>
  <si>
    <t>ASSIST. MEDICA BRADESCO.</t>
  </si>
  <si>
    <t>PENSAO ALIMENTICIA.</t>
  </si>
  <si>
    <t>PREVIDENCIA PRIVADA.</t>
  </si>
  <si>
    <t>MENSALIDADE SINDICATO.</t>
  </si>
  <si>
    <t>ALFA PREVIDENCIA E VIDA.</t>
  </si>
  <si>
    <t>OBRIGACOES DIVERSAS....................</t>
  </si>
  <si>
    <t>CONTAS DIVERSAS A PAGAR...............</t>
  </si>
  <si>
    <t>SEGUROS A PAGAR.</t>
  </si>
  <si>
    <t>CREDITOS A REGULARIZAR.</t>
  </si>
  <si>
    <t>CONTAS DIVERSAS A PAGAR.</t>
  </si>
  <si>
    <t>CAIXA CONTAS A PAGAR.</t>
  </si>
  <si>
    <t>CAIXA COMPRAS.</t>
  </si>
  <si>
    <t>CONTAS A PAGAR DESEMB CAIXA HOSP.</t>
  </si>
  <si>
    <t>CANCELAMENTO DE CARTOES DE CREDITO.</t>
  </si>
  <si>
    <t>COMISSAO DE AGENCIAS A PAGAR.</t>
  </si>
  <si>
    <t>ARREND. MERCANTIL A PAGAR.............</t>
  </si>
  <si>
    <t>NONIUS HOSPITALITY TECHNOLOGY.</t>
  </si>
  <si>
    <t>CONTA CORR CSC PARTES RELACIONADAS....</t>
  </si>
  <si>
    <t>TRANSAMERICA DE HOTEIS NORDESTE.</t>
  </si>
  <si>
    <t>SOUBACH BENEFICIAMENTO EM COUROS.</t>
  </si>
  <si>
    <t>VALORES A REPASSAR - TERCEIRIZADOS....</t>
  </si>
  <si>
    <t>HEALTH SPA (MASSAGEM).</t>
  </si>
  <si>
    <t>ADIANTAMENTO DE CLIENTES..............</t>
  </si>
  <si>
    <t>ADIANTAMENTOS DE CLIENTES.</t>
  </si>
  <si>
    <t>OUTRAS PROVISOES......................</t>
  </si>
  <si>
    <t>PROV. DE FERIAS.</t>
  </si>
  <si>
    <t>PROV. 13 SALARIO.</t>
  </si>
  <si>
    <t>PROV. ENC. SOCIAIS FERIAS.</t>
  </si>
  <si>
    <t>PROV. ENC. SOC. 13 SALARIO.</t>
  </si>
  <si>
    <t>PROV.SAL. E ENCARGOS DISSIDIO.</t>
  </si>
  <si>
    <t>EMPRESTIMOS E FINANCIAMENTOS...........</t>
  </si>
  <si>
    <t>TRANSAMERICA HOLDING LTDA.</t>
  </si>
  <si>
    <t>ADMINISTRADORA VERA CRUZ LTDA.</t>
  </si>
  <si>
    <t>PASSIVO NAO CIRCULANTE..................</t>
  </si>
  <si>
    <t>EXIGIVEL A LONGO PRAZO.................</t>
  </si>
  <si>
    <t>PROVISAO PARA RISCOS TRIBUTARIOS......</t>
  </si>
  <si>
    <t>INSS MAJORACAO SAT.</t>
  </si>
  <si>
    <t>INSS AUXILIO DOENCA/AFASTAMENTO.</t>
  </si>
  <si>
    <t>TARIFA TUSD- ENERGIA ELETRICA.</t>
  </si>
  <si>
    <t>CONTING. INSS FOLHA LIMINAR CPRB.</t>
  </si>
  <si>
    <t>PROVISAO PARA RISCOS PROVAVEIS........</t>
  </si>
  <si>
    <t>RISCOS TRABALHISTAS.</t>
  </si>
  <si>
    <t>RISCOS CIVEIS.</t>
  </si>
  <si>
    <t>PATRIMONIO LIQUIDO......................</t>
  </si>
  <si>
    <t>CAPITAL SOCIAL.........................</t>
  </si>
  <si>
    <t>CAPITAL SOCIAL SUBSCRITO.</t>
  </si>
  <si>
    <t>RESERVA DE CAPITAL.....................</t>
  </si>
  <si>
    <t>RESERVA DE CAPITAL....................</t>
  </si>
  <si>
    <t>RESERVA DE APLICACAO INC. FISCAIS.</t>
  </si>
  <si>
    <t>RESERVA DE CAPITAL IN 125/91.</t>
  </si>
  <si>
    <t>RESERVA DE CAPITAL LEI 8200...........</t>
  </si>
  <si>
    <t>PREJUIZOS ACUMULADOS...................</t>
  </si>
  <si>
    <t>PREJUIZOS ACUMULADOS..................</t>
  </si>
  <si>
    <t>PREJUIZOS ACUMULADOS.</t>
  </si>
  <si>
    <t>MERCADORIA CONSIGNADA.</t>
  </si>
  <si>
    <t>R E C E I T A S.........................</t>
  </si>
  <si>
    <t>RECEITAS OPERACIONAIS..................</t>
  </si>
  <si>
    <t>RECEITA COM VENDA DE MERCADORIAS......</t>
  </si>
  <si>
    <t>GENEROS ALIMENTICIOS.</t>
  </si>
  <si>
    <t>BEBIDAS ALCOOLICAS.</t>
  </si>
  <si>
    <t>BEBIDAS NAO ALCOOLICAS.</t>
  </si>
  <si>
    <t>VINHOS E CHAMPAGNES.</t>
  </si>
  <si>
    <t>CAFE DA MANHA REPASSADO.</t>
  </si>
  <si>
    <t>RECEITA COM PRESTACAO DE SERVICOS.....</t>
  </si>
  <si>
    <t>DIARIAS.</t>
  </si>
  <si>
    <t>TAXA TURISMO.</t>
  </si>
  <si>
    <t>ISS S/ DIARIAS.</t>
  </si>
  <si>
    <t>(-) REPASSE RECEITA CAFE DA MANHA.</t>
  </si>
  <si>
    <t>LOCACAO DE SERVICOS.</t>
  </si>
  <si>
    <t>TRANSFER.</t>
  </si>
  <si>
    <t>ESTACIONAMENTO - HOSPEDES.</t>
  </si>
  <si>
    <t>RECEITAS DIVERSAS.</t>
  </si>
  <si>
    <t>ACESSO A INTERNET MOD. DEDICADA.</t>
  </si>
  <si>
    <t>TELEFONIA.</t>
  </si>
  <si>
    <t>LAVANDERIA.</t>
  </si>
  <si>
    <t>LOCACAO DE MATERIAIS.</t>
  </si>
  <si>
    <t>XEROX.</t>
  </si>
  <si>
    <t>HEALTH CLUB.</t>
  </si>
  <si>
    <t>DESEMB.CAIXA SERVICOS(NF).</t>
  </si>
  <si>
    <t>TAXA DESEMBOLSO DE CAIXA.</t>
  </si>
  <si>
    <t>TAXA DE ROLHA.</t>
  </si>
  <si>
    <t>RECEPTIVO EMBARQUE/DESEMBARQUE.</t>
  </si>
  <si>
    <t>TAXA PET.</t>
  </si>
  <si>
    <t>TAXA DE RECREACAO.</t>
  </si>
  <si>
    <t>RECEITAS COM LOCACOES.................</t>
  </si>
  <si>
    <t>LOCACAO DE SALAS.</t>
  </si>
  <si>
    <t>LOCACAO HEALTH CLUB.</t>
  </si>
  <si>
    <t>(-) IMPOSTOS INCIDENTES S/ VENDAS.....</t>
  </si>
  <si>
    <t>COFINS.</t>
  </si>
  <si>
    <t>PIS S/ FATURAMENTO.</t>
  </si>
  <si>
    <t>ICMS S/ VENDAS.</t>
  </si>
  <si>
    <t>ISS S/ VENDAS.</t>
  </si>
  <si>
    <t>(-) DESCONTOS.</t>
  </si>
  <si>
    <t>OUTRAS RECEITAS OPERACIONAIS...........</t>
  </si>
  <si>
    <t>RECEITAS FINANCEIRAS..................</t>
  </si>
  <si>
    <t>APLIC. FIQ - OMICRON BRADESCO.</t>
  </si>
  <si>
    <t>APLIC BCO SANTANDER CONTAMAX EMPRES.</t>
  </si>
  <si>
    <t>APLIC BCO BRADESCO INVEST FACIL.</t>
  </si>
  <si>
    <t>JUROS ATIVOS.</t>
  </si>
  <si>
    <t>DESCONTOS OBTIDOS.</t>
  </si>
  <si>
    <t>JUROS SOBRE DEPOSITOS JUDICIAIS.</t>
  </si>
  <si>
    <t>RECEITA C/ ALUGUEIS...................</t>
  </si>
  <si>
    <t>ALUGUEIS DE LOJA.</t>
  </si>
  <si>
    <t>ALUGUEL ESTAPAR REEMB.</t>
  </si>
  <si>
    <t>ALUGUEL ESTAPAR HT.</t>
  </si>
  <si>
    <t>ALUGUEL ESTAPAR BENTO BRANCO.</t>
  </si>
  <si>
    <t>ALUGUEL DE ESPACO.</t>
  </si>
  <si>
    <t>LOCACAO DE FRIGOBAR.</t>
  </si>
  <si>
    <t>OUTRAS RECEITAS OPERACIONAIS..........</t>
  </si>
  <si>
    <t>CORTESIA DE FORNECEDORES.</t>
  </si>
  <si>
    <t>RECUPERACAO DE DESPESAS.</t>
  </si>
  <si>
    <t>D E S P E S A S ........................</t>
  </si>
  <si>
    <t>CUSTOS DAS MERC. E SERV. VENDIDOS......</t>
  </si>
  <si>
    <t>CUSTO DAS MERCADORIAS VENDIDAS........</t>
  </si>
  <si>
    <t>CMV TRANSITORIO.</t>
  </si>
  <si>
    <t>BREAKFAST.</t>
  </si>
  <si>
    <t>(-) RECUPERACAO PIS.</t>
  </si>
  <si>
    <t>(-) RECUPERACAO COFINS.</t>
  </si>
  <si>
    <t>CUSTO DOS SERV. E MERC.VENDIDAS.......</t>
  </si>
  <si>
    <t>FOLHA DE PAGAMENTO...................</t>
  </si>
  <si>
    <t>SALARIOS DISSIDIO.</t>
  </si>
  <si>
    <t>ADICIONAL NOTURNO.</t>
  </si>
  <si>
    <t>HORAS EXTRAS.</t>
  </si>
  <si>
    <t>DESCANSO SEMANAL REMUNERADO.</t>
  </si>
  <si>
    <t>ESTIMATIVA DE GORJETAS.</t>
  </si>
  <si>
    <t>RISCOS QUEBRA DE CAIXA.</t>
  </si>
  <si>
    <t>VALE TRANSPORTE.</t>
  </si>
  <si>
    <t>FERIAS.</t>
  </si>
  <si>
    <t>13 SALARIO.</t>
  </si>
  <si>
    <t>AVISO PREVIO INDENIZADO.</t>
  </si>
  <si>
    <t>INDENIZACOES.</t>
  </si>
  <si>
    <t>ASSISTENCIA MEDICA.</t>
  </si>
  <si>
    <t>ENCARGOS SOCIAIS.....................</t>
  </si>
  <si>
    <t>INSS.</t>
  </si>
  <si>
    <t>FGTS.</t>
  </si>
  <si>
    <t>FGTS INDENIZACAO.</t>
  </si>
  <si>
    <t>PREMIO SEGUROS INSS.</t>
  </si>
  <si>
    <t>ENCARGOS SOCIAIS DISSIDIO.</t>
  </si>
  <si>
    <t>CUSTO DO REFEITORIO FUNCIONARIOS.</t>
  </si>
  <si>
    <t>DESPESAS COM CONSUMO.................</t>
  </si>
  <si>
    <t>CONSUMO INTERNO.</t>
  </si>
  <si>
    <t>MATERIAL DE ESCRITORIO.</t>
  </si>
  <si>
    <t>DESPESAS MAT IMPRESSOS.</t>
  </si>
  <si>
    <t>MATERIAL DE LIMPEZA.</t>
  </si>
  <si>
    <t>MATERIAL DE A&amp;B.</t>
  </si>
  <si>
    <t>MATERIAL APARTAMENTOS.</t>
  </si>
  <si>
    <t>MATERIAL SEGURANCA DO TRABALHO.</t>
  </si>
  <si>
    <t>TELEFONE.</t>
  </si>
  <si>
    <t>TELEFONE - CONSUMO INTERNO.</t>
  </si>
  <si>
    <t>AGUA.</t>
  </si>
  <si>
    <t>LUZ.</t>
  </si>
  <si>
    <t>GAS.</t>
  </si>
  <si>
    <t>CORREIOS.</t>
  </si>
  <si>
    <t>CONSUMO XEROX.</t>
  </si>
  <si>
    <t>COMBUSTIVEL.</t>
  </si>
  <si>
    <t>REFEITORIO(TERCEIROS E EMPRESAS).</t>
  </si>
  <si>
    <t>SERVICO DE TERCEIROS-PESS.JURIDICAS..</t>
  </si>
  <si>
    <t>EXAMES LABORATORIO.</t>
  </si>
  <si>
    <t>SERV. DE LAVANDERIA.</t>
  </si>
  <si>
    <t>SERVICO TRANSPORTE DE HOSPEDE.</t>
  </si>
  <si>
    <t>SERV. DE LIMPEZA.</t>
  </si>
  <si>
    <t>SERV. TRANSP. DE PAPEIS.</t>
  </si>
  <si>
    <t>SERV. RECREACAO.</t>
  </si>
  <si>
    <t>SERV. FOTOG./AUDIO/VIDEO.</t>
  </si>
  <si>
    <t>SERV. DE SHOW ARTISTICOS.</t>
  </si>
  <si>
    <t>SERV. PROGRAMA JOVEM APRENDIZ.</t>
  </si>
  <si>
    <t>ASSISTENCIA TECNICA.</t>
  </si>
  <si>
    <t>SERVICOS MAO DE OBRA COOPERADA.</t>
  </si>
  <si>
    <t>ASSESSSORIA TECNICA..................</t>
  </si>
  <si>
    <t>ASSESSORIA EM INFORMATICA.</t>
  </si>
  <si>
    <t>AUDITORIA INTERNA OU EXTERNA.</t>
  </si>
  <si>
    <t>ASSESSORIA EM RH.</t>
  </si>
  <si>
    <t>ASSESSORIA ADMINISTRATIVA.</t>
  </si>
  <si>
    <t>DESPESAS COM PROMOCAO................</t>
  </si>
  <si>
    <t>MATERIAL PROMOCIONAL.</t>
  </si>
  <si>
    <t>PROMOCAO DE VENDAS.</t>
  </si>
  <si>
    <t>BRINDES PROMOCIONAIS.</t>
  </si>
  <si>
    <t>DESPESAS COM ALUGUEIS................</t>
  </si>
  <si>
    <t>ALUGUEL TERRENO - TRANS. HOLDING.</t>
  </si>
  <si>
    <t>ALUGUEL TERRENO - CORUMBAL CORRET..</t>
  </si>
  <si>
    <t>ALUGUEL TERRENO - ADM VERA CRUZ.</t>
  </si>
  <si>
    <t>ALUGUEL TERRENO - RIO VERDE.</t>
  </si>
  <si>
    <t>ALUGUEL ANUENTES - TRANS.HOLDING.</t>
  </si>
  <si>
    <t>ALUGUEL ANUENTES - CORUMBAL CORRET..</t>
  </si>
  <si>
    <t>ALUGUEL ANUENTES - ADM VERA CRUZ.</t>
  </si>
  <si>
    <t>ALUGUEL DE VEICULOS.</t>
  </si>
  <si>
    <t>ALUGUEIS DIVERSOS.</t>
  </si>
  <si>
    <t>LOCACAO DE EQUIPAMENTOS.</t>
  </si>
  <si>
    <t>(-) RECUPERACAO PIS ALUGUEIS.</t>
  </si>
  <si>
    <t>(-) RECUPERACAO COFINS ALUGUEIS.</t>
  </si>
  <si>
    <t>DESPESAS DEPRECIACAO E AMORTIZACAO...</t>
  </si>
  <si>
    <t>DEPRECIACAO.</t>
  </si>
  <si>
    <t>DEPRECIACAO CSC - PARTIC..</t>
  </si>
  <si>
    <t>DESP. DEPREC/AMORT.AJUSTE CPC 27.....</t>
  </si>
  <si>
    <t>DESPESAS COM DECORACAO...............</t>
  </si>
  <si>
    <t>DECORACAO.</t>
  </si>
  <si>
    <t>FLORES.</t>
  </si>
  <si>
    <t>AJARDINAMENTO E PAISAGISMO.</t>
  </si>
  <si>
    <t>DESPESAS COM MANUTENCAO..............</t>
  </si>
  <si>
    <t>MANUTENCAO CORRETIVA.</t>
  </si>
  <si>
    <t>MANUTENCAO PREVENTIVA.</t>
  </si>
  <si>
    <t>MANUTENCAO - CONTRATOS.</t>
  </si>
  <si>
    <t>DESPESAS COM COMISSOES...............</t>
  </si>
  <si>
    <t>COMISSAO AG. VIAGEM.</t>
  </si>
  <si>
    <t>COMISSAO REPRES.COML..</t>
  </si>
  <si>
    <t>IMPOSTOS E CONTRIBUICOES.............</t>
  </si>
  <si>
    <t>I.P.T.U.</t>
  </si>
  <si>
    <t>I.P.V.A.</t>
  </si>
  <si>
    <t>PIS S/ OUTRAS RECEITAS.</t>
  </si>
  <si>
    <t>COFINS S/ OUTRAS RECEITAS.</t>
  </si>
  <si>
    <t>OUTRAS DESPESAS......................</t>
  </si>
  <si>
    <t>CONDUCAO.</t>
  </si>
  <si>
    <t>ALIMENTACAO.</t>
  </si>
  <si>
    <t>ESTACIONAMENTO.</t>
  </si>
  <si>
    <t>SELO ESTACIONAMENTO.</t>
  </si>
  <si>
    <t>ESTACIONAMENTO FUNCIONARIO.</t>
  </si>
  <si>
    <t>DESPESAS C/ VEICULOS.</t>
  </si>
  <si>
    <t>DESPESAS C/ FUNCIONARIO.</t>
  </si>
  <si>
    <t>DESPESAS C/ HOSPEDES.</t>
  </si>
  <si>
    <t>DESPESAS C/ VIAGEM.</t>
  </si>
  <si>
    <t>EMOLUMENTOS E TAXAS.</t>
  </si>
  <si>
    <t>JORNAIS E REVISTAS.</t>
  </si>
  <si>
    <t>GUARNICOES CAMA/MESA/BANHO.</t>
  </si>
  <si>
    <t>DESPESAS C/ TRANSPORTE.</t>
  </si>
  <si>
    <t>DESPESAS C/ CARTORIO.</t>
  </si>
  <si>
    <t>DIREITOS AUTORAIS.</t>
  </si>
  <si>
    <t>ASSINATURA CANAL - TV.</t>
  </si>
  <si>
    <t>ASSINATURA INTERNET.</t>
  </si>
  <si>
    <t>ESTAGIO REMUNERADO.</t>
  </si>
  <si>
    <t>OUTRAS DESPESAS.</t>
  </si>
  <si>
    <t>DESPESAS/CUSTOS REPASSADOS...........</t>
  </si>
  <si>
    <t>TAXA DE TURISMO.</t>
  </si>
  <si>
    <t>ESTAC.REPASSADO HOSPEDE.</t>
  </si>
  <si>
    <t>(-) CUSTO DO REFEITORIO REPASSADO....</t>
  </si>
  <si>
    <t>(-) REFEITORIO DOS FUNCIONARIOS.</t>
  </si>
  <si>
    <t>(-) REFEITORIO(TERCEIROS E EMPRESAS.</t>
  </si>
  <si>
    <t>DESPESAS OPERACIONAIS / ADMINISTRAC....</t>
  </si>
  <si>
    <t>DESPESAS ADMINISTRATIVAS / VENDAS.....</t>
  </si>
  <si>
    <t>HONORARIOS CONSELHO DE ADMINISTRACA.</t>
  </si>
  <si>
    <t>HONORARIOS DA DIRETORIA.</t>
  </si>
  <si>
    <t>REFEITORIO (TERCEIROS E EMPRESAS).</t>
  </si>
  <si>
    <t>SERVICOS TERCEIROS - PESS. JURIDICA..</t>
  </si>
  <si>
    <t>EXAMES CLINICOS.</t>
  </si>
  <si>
    <t>SERV.DEDETIZACAO E CONTROLE PRAGAS.</t>
  </si>
  <si>
    <t>CURSOS.</t>
  </si>
  <si>
    <t>SERVICOS MICROFILMAGEM.</t>
  </si>
  <si>
    <t>SERVICOS DE RESERVA -CMNET/SABRE.</t>
  </si>
  <si>
    <t>REPRESENTACAO COMERCIAL.</t>
  </si>
  <si>
    <t>SERVICOS DE MARCENARIA.</t>
  </si>
  <si>
    <t>ASSESSORIA TECNICA...................</t>
  </si>
  <si>
    <t>ASSESSORIA DE MARKETING.</t>
  </si>
  <si>
    <t>ASSESSORIA CADASTRAL.</t>
  </si>
  <si>
    <t>ASSESSORIA JURIDICA.</t>
  </si>
  <si>
    <t>AUDITORIA INTERNA E EXTERNA.</t>
  </si>
  <si>
    <t>ASSESSORIA CONTABIL FISCAL DICON.</t>
  </si>
  <si>
    <t>PERICIAS E AVALIACOES.</t>
  </si>
  <si>
    <t>ASSESSORIA PESQUISA E ATENDIMENTO.</t>
  </si>
  <si>
    <t>ASSESSORIA DE IMPRENSA.</t>
  </si>
  <si>
    <t>SERVICOS ADMINISTRATIVOS.</t>
  </si>
  <si>
    <t>ASSESSORIA PREVENCAO COMBATE INCEND.</t>
  </si>
  <si>
    <t>EVENTOS.</t>
  </si>
  <si>
    <t>DESPESA DE DEPRECIACAO E AMORTIZACA..</t>
  </si>
  <si>
    <t>AMORTIZACAO.</t>
  </si>
  <si>
    <t>DESP. DEPREC/AMORT-AJUSTE CPC 27.....</t>
  </si>
  <si>
    <t>DESPESA DE PUBLICIDADE E PROPAGANDA..</t>
  </si>
  <si>
    <t>PUBLIC. PROP. INSTITUCIONAL.</t>
  </si>
  <si>
    <t>APOIOS E PATROCINIOS.</t>
  </si>
  <si>
    <t>DESP. C/ DECORACAO...................</t>
  </si>
  <si>
    <t>MANUTENCAO CONTRATOS.</t>
  </si>
  <si>
    <t>MULTAS...............................</t>
  </si>
  <si>
    <t>MULTAS.</t>
  </si>
  <si>
    <t>JUROS.</t>
  </si>
  <si>
    <t>VERBA DE REPRESENTACAO...............</t>
  </si>
  <si>
    <t>VERBAS DE REPRESENTACAO.</t>
  </si>
  <si>
    <t>PUBLICACAO DA S/A.</t>
  </si>
  <si>
    <t>DESPESAS BANCARIAS.</t>
  </si>
  <si>
    <t>ASSOCIACAO TURISTICA E COML.</t>
  </si>
  <si>
    <t>PROV CONTINGENCIA TRABALHISTA.</t>
  </si>
  <si>
    <t>PROV. P/ DEV. DUVIDOSOS.</t>
  </si>
  <si>
    <t>PERDAS RECEBTO CREDITOS.</t>
  </si>
  <si>
    <t>RATEIO DESPESAS - CSC.</t>
  </si>
  <si>
    <t>DESPESAS FINANCEIRAS..................</t>
  </si>
  <si>
    <t>TAXA DE ADMINIST. CREDICARD.</t>
  </si>
  <si>
    <t>JUROS PASSIVOS S/ EMPRESTIMOS.</t>
  </si>
  <si>
    <t>IOF.</t>
  </si>
  <si>
    <t>DESPESAS C/ PERDA CAMBIAL.</t>
  </si>
  <si>
    <t>OUTRAS DESPESAS OPERACIONAIS..........</t>
  </si>
  <si>
    <t>VAR. MONET. PASSIVA.</t>
  </si>
  <si>
    <t>ATUALIZACAO MONETARIA ISS.</t>
  </si>
  <si>
    <t>PERDAS COM EQUIVALENCIA PATRIMONIAL..</t>
  </si>
  <si>
    <t>PREJUIZO NA ALIENACAO DE BENS E DIR..</t>
  </si>
  <si>
    <t>PREJUIZO NA ALIENACAO/BAIXA IMOBILI.</t>
  </si>
  <si>
    <t>CONTAS A RATEAR........................</t>
  </si>
  <si>
    <t>IPTU A RATEAR.</t>
  </si>
  <si>
    <t>check saldo</t>
  </si>
  <si>
    <t>HOTEIS EVENTOS E LAZER AGENC VIAGEN.</t>
  </si>
  <si>
    <t>PROJETO AMPLIACAO REFEITORIO.</t>
  </si>
  <si>
    <t>NS EMABALAGENS DESCARTAVEIS LTDA.</t>
  </si>
  <si>
    <t>ONITY LTDA (TESA ENTRY SYSTEMS).</t>
  </si>
  <si>
    <t>C&amp;C CASA E CONSTRUCAO LTDA.</t>
  </si>
  <si>
    <t>(-) EDIFICACOES.</t>
  </si>
  <si>
    <t>(-) INSTALACOES.</t>
  </si>
  <si>
    <t>(-) INSTALACOES - CSC HTSP.</t>
  </si>
  <si>
    <t>(-) INSTALACOES - CSC PARTIC..</t>
  </si>
  <si>
    <t>(-) MAQUINAS E EQUIPAMENTOS.</t>
  </si>
  <si>
    <t>(-) MAQUINAS E EQUIPAMENTOS - CSC HTSP.</t>
  </si>
  <si>
    <t>(-) MAQUINAS E EQUIPAMENTOS CSC PARTIC..</t>
  </si>
  <si>
    <t>(-) EQUIP. PROC. DE DADOS.</t>
  </si>
  <si>
    <t>(-) EQUIP. PROC. DE DADOS - CSC HTSP.</t>
  </si>
  <si>
    <t>(-) EQUIP. PROC. DE DADOS - CSC PARTIC..</t>
  </si>
  <si>
    <t>(-) EQUIP.PROCE.DADOS-ARREND.MERCANTIL.</t>
  </si>
  <si>
    <t>(-) MOVEIS UTENS. HOSP.</t>
  </si>
  <si>
    <t>(-) MOVEIS E UTENSILIOS - CSC HTSP.</t>
  </si>
  <si>
    <t>(-) MOVEIS E UTENSILIOS - CSC PARTIC..</t>
  </si>
  <si>
    <t>(-) VEICULOS.</t>
  </si>
  <si>
    <t>(-) MATERIAL DE SERVICOS.</t>
  </si>
  <si>
    <t>(-) VIDROS E CRISTAIS.</t>
  </si>
  <si>
    <t>(-) LOUCAS E PORCELANAS.</t>
  </si>
  <si>
    <t>(-) PRATARIA E INOX.</t>
  </si>
  <si>
    <t>(-) CONFECCOES PARA CAMA.</t>
  </si>
  <si>
    <t>(-) MOVEIS UTENS. HOSPEDAGEM.</t>
  </si>
  <si>
    <t>(-) CONFECOES PARA CAMA.</t>
  </si>
  <si>
    <t>(-) LOUCAS E PORCELANA.</t>
  </si>
  <si>
    <t>(-) MATERIAIS DE SERVICO.</t>
  </si>
  <si>
    <t>(-) EDIFICACOES - AMPL.</t>
  </si>
  <si>
    <t>(-) INSTALACOES - AMPL.</t>
  </si>
  <si>
    <t>(-) CESSAO USO SOFTWARE.</t>
  </si>
  <si>
    <t>(-) CESSAO USO SOFTWARE - CSC HTSP.</t>
  </si>
  <si>
    <t>(-) CESSAO USO SOFTWARE - CSC PARTIC..</t>
  </si>
  <si>
    <t>TITULOS E VALORES MOBILIARIOS..........</t>
  </si>
  <si>
    <t>C.D.B -BANCO BRADESCO.</t>
  </si>
  <si>
    <t>RADIO E TV BANDEIRANTES.</t>
  </si>
  <si>
    <t>FLYVISION PRODUCOES E EVENTOS LTDA.</t>
  </si>
  <si>
    <t>RECUPERACAO DE PIS.</t>
  </si>
  <si>
    <t>RECUPERACAO DE COFINS.</t>
  </si>
  <si>
    <t>JOSEMIR BARBOSA SANTOS.</t>
  </si>
  <si>
    <t>CAMILA ABDALLA.</t>
  </si>
  <si>
    <t>PROJETO CORREDOR DE PASSAGEM - CSC.</t>
  </si>
  <si>
    <t>(-)DEPREC. ACUM.AJUSTE CPC27.........</t>
  </si>
  <si>
    <t>IMOBILIZADO LEI 8200..................</t>
  </si>
  <si>
    <t>(-)DEPRECIACOES ACUMULADAS LEI 8200..</t>
  </si>
  <si>
    <t>(-)DEPREC.ACUM.LEI8200-AJUSTE CPC27..</t>
  </si>
  <si>
    <t>(-)AMORTIZACOES ACUMULADAS...........</t>
  </si>
  <si>
    <t>INTANGIVEL  LEI 8200..................</t>
  </si>
  <si>
    <t>VPJ COMERCIO DE PRODUTOS ALIM.</t>
  </si>
  <si>
    <t>GOLDEN FARMA SISTEMA DE CONVENIOS.</t>
  </si>
  <si>
    <t>INSS RETIDO IN87.</t>
  </si>
  <si>
    <t>INSS S/ TERCEIROS COD REC 2100.</t>
  </si>
  <si>
    <t>INDENIZACAO POR DANOS.</t>
  </si>
  <si>
    <t>MATERIAL SERVICO CSC PARTICIPANTES.</t>
  </si>
  <si>
    <t>VIDROS E CRISTAIS CSC PARTICIPANTES.</t>
  </si>
  <si>
    <t>LOUCAS E PORCELANA CSC PARTICIPANTE.</t>
  </si>
  <si>
    <t>PRATARIA E INOX - CSC PARTICIPANTES.</t>
  </si>
  <si>
    <t>INSTALACOES - CSC PARTIC..</t>
  </si>
  <si>
    <t>EQUIP. PROC. DE DADOS - CSC PARTIC..</t>
  </si>
  <si>
    <t>EQUIP.PROCE.DADOS-ARREND.MERCANTIL.</t>
  </si>
  <si>
    <t>MOVEIS E UTENSILIOS - CSC PARTIC..</t>
  </si>
  <si>
    <t>MOVEIS UTENS. HOSPEDAGEM.</t>
  </si>
  <si>
    <t>CONFECOES PARA CAMA.</t>
  </si>
  <si>
    <t>LOUCAS E PORCELANA.</t>
  </si>
  <si>
    <t>MATERIAIS DE SERVICO.</t>
  </si>
  <si>
    <t>EDIFICACOES - AMPL.</t>
  </si>
  <si>
    <t>INSTALACOES - AMPL.</t>
  </si>
  <si>
    <t>TREND OPERADORA VIAGENS PROF.LTDA.</t>
  </si>
  <si>
    <t>DESCONTO ACADEMIA.</t>
  </si>
  <si>
    <t>TAXA DE SERVICOS-PDV NAO TRIBUTADO.</t>
  </si>
  <si>
    <t>IOF S/ EMPRESTIMOS.</t>
  </si>
  <si>
    <t>CREDICARD.</t>
  </si>
  <si>
    <t>JOSIVALDO LIMA PEREIRA.</t>
  </si>
  <si>
    <t>OUTRAS IMOBILIZACOES.................</t>
  </si>
  <si>
    <t>BENF IMOVEIS 3. QUIOSQUE LA BASQUE.</t>
  </si>
  <si>
    <t>MATERIAL DE SERVICO - CSC HTSP.</t>
  </si>
  <si>
    <t>MATERIAL DE SERVICO CSC PARTIC..</t>
  </si>
  <si>
    <t>VIDROS E CRISTAIS - CSC HTSP.</t>
  </si>
  <si>
    <t>VIDROS E CRISTAIS CSC PARTIC..</t>
  </si>
  <si>
    <t>LOUCAS E PORCELANAS - CSC HTSP.</t>
  </si>
  <si>
    <t>LOUCAS E PORCELANAS CSC PARTIC..</t>
  </si>
  <si>
    <t>PRATARIA E INOX - CSC HTSP.</t>
  </si>
  <si>
    <t>PRATARIA E INOX CSC PARTIC..</t>
  </si>
  <si>
    <t>(-) AMORTIZACAO ACUMULADA............</t>
  </si>
  <si>
    <t>BENFEITORIAS EM IMOVEIS DE TERCEIRO.</t>
  </si>
  <si>
    <t>TOUTATIS CLIENT SERV.CONSULTORIA BR.</t>
  </si>
  <si>
    <t>SOLWA COM E MANUT EQUIPTOS IND LTDA.</t>
  </si>
  <si>
    <t>COMERC ENERGIA LTDA.</t>
  </si>
  <si>
    <t>CPFL COMERCIALIZACAO BRASIL S.A..</t>
  </si>
  <si>
    <t>ADTO DE CLIENTES A REGULARIZAR.</t>
  </si>
  <si>
    <t>ADTO DE CLIENTES - CARTA DE CREDITO.</t>
  </si>
  <si>
    <t>CONSULTORIA DEMANDA DE ENERGIA.</t>
  </si>
  <si>
    <t>(-) MATERIAL DE SERVICO - CSC HTSP.</t>
  </si>
  <si>
    <t>(-) MATERIAL DE SERVICO CSC PARTIC..</t>
  </si>
  <si>
    <t>(-) VIDROS E CRISTAIS - CSC HTSP.</t>
  </si>
  <si>
    <t>(-) VIDROS E CRISTAIS CSC PARTIC..</t>
  </si>
  <si>
    <t>(-) LOUCAS E PORCELANAS - CSC HTSP.</t>
  </si>
  <si>
    <t>(-) LOUCAS E PORCELANAS CSC PARTIC..</t>
  </si>
  <si>
    <t>(-) PRATARIA E INOX - CSC HTSP.</t>
  </si>
  <si>
    <t>(-) PRATARIA E INOX CSC PARTIC..</t>
  </si>
  <si>
    <t>I.R.P.J A COMP. AB.2018.</t>
  </si>
  <si>
    <t>AMORTIZAÇÃO CSC.</t>
  </si>
  <si>
    <t>DEPRECIAÇAO CSC.</t>
  </si>
  <si>
    <t xml:space="preserve">DIREITO DE USO </t>
  </si>
  <si>
    <t>DIREITO DE USO</t>
  </si>
  <si>
    <t>BENFEITORIAS EM IMOVEIS DE TERCEIRO. - QUIOSQUE LA BASQUE</t>
  </si>
  <si>
    <t>EXPURGOS GOVERNAMENTAIS PROC ICMS.</t>
  </si>
  <si>
    <t>DIREITO DE USO ......................</t>
  </si>
  <si>
    <t>DIREITO DE USO.</t>
  </si>
  <si>
    <t>PROJETO PROTECAO CONTRA QUEDAS-LAJE.</t>
  </si>
  <si>
    <t>GOOGLE BRASIL INTERNET LTDA.</t>
  </si>
  <si>
    <t>ARRENDAMENTO MERCANTIL IRFS 16........</t>
  </si>
  <si>
    <t>ARRENDAMENTO MERCANTIL IFRS 16.</t>
  </si>
  <si>
    <t>JUROS S/ARRENDAMENTO MERCANTIL IRFS.</t>
  </si>
  <si>
    <t>ALFA PARTICIPACOES INTERNACIONAIS.</t>
  </si>
  <si>
    <t>ARRENDAMENTO MERCANTIL IFRS 16 .......</t>
  </si>
  <si>
    <t>JUROS S/ARRENDAMENTO MERCANTIL IFRS.</t>
  </si>
  <si>
    <t>REPASSE TAXA DE SERVICO.</t>
  </si>
  <si>
    <t>(-) ALUGUEL IFRS 16.</t>
  </si>
  <si>
    <t>AMORTIZACAO DIREITO DE USO.</t>
  </si>
  <si>
    <t>JUROS ARRENDAMENTO MERCANTIL IFRS16.</t>
  </si>
  <si>
    <t>R E S U L T A D O........................</t>
  </si>
  <si>
    <t>SALDO
31/12/2019</t>
  </si>
  <si>
    <t>TOTAL
2020</t>
  </si>
  <si>
    <t>CONTA</t>
  </si>
  <si>
    <t>PROMOCAO SERVICO SOCIAL.</t>
  </si>
  <si>
    <t>WELLINGTON REZENDE DE AGUIAR.</t>
  </si>
  <si>
    <t>AURELIO JOSE PIRES.</t>
  </si>
  <si>
    <t>SHOP HOTEL LTDA.</t>
  </si>
  <si>
    <t>TRADAQ LTDA.</t>
  </si>
  <si>
    <t>L A R MANUT COMPUTADORES LTDA.</t>
  </si>
  <si>
    <t>IDAISE IZABEL DOS SANTOS.</t>
  </si>
  <si>
    <t>VINDER S/A.</t>
  </si>
  <si>
    <t>CWT AG VIAG TURISMO BRASIL LTDA.</t>
  </si>
  <si>
    <t>CESSAO DE CREDITO......................</t>
  </si>
  <si>
    <t>CESSAO DE CREDITO BANCO ALFA INVEST.</t>
  </si>
  <si>
    <t>(-)JUROS A APROPRIAR/CESSAO CREDITO.</t>
  </si>
  <si>
    <t>(-)IOF A APROPRIAR/CESSAO CREDITO.</t>
  </si>
  <si>
    <t>MATERIAL ESPORTIVO.</t>
  </si>
  <si>
    <t>PREMIO QUALIDADE FUNCIONAL.</t>
  </si>
  <si>
    <t>CESSÃO DE SOFTWARE</t>
  </si>
  <si>
    <t>MARCAS E PATENTES - 8200</t>
  </si>
  <si>
    <t>MÁQUINAS E EQUIPAMENTOS - PARTICIPANTES</t>
  </si>
  <si>
    <t>MATERIAIS DE SERVIÇOS - PARTCIPANTES</t>
  </si>
  <si>
    <t>VIDROS E CRISTAIS - PARTICIPANTES</t>
  </si>
  <si>
    <t>LOUÇAS E PORCELANAS - PARTIPANTES</t>
  </si>
  <si>
    <t>PRATARIA E INOX - PARTICIPANTES</t>
  </si>
  <si>
    <t>NIPO SANTO AMARO MOTO SERRAS LTDA.</t>
  </si>
  <si>
    <t>TOTVS S/A.</t>
  </si>
  <si>
    <t>REVIEW BANK , S/A.</t>
  </si>
  <si>
    <t>FUTURA COMERCIAL TRADING LTDA.</t>
  </si>
  <si>
    <t>LG INFORMATICA S/A.</t>
  </si>
  <si>
    <t>PACOTES DE 1/1 E 1/2PENSAO.</t>
  </si>
  <si>
    <t>(-)REPASSE RECEITA 1/1 E 1/2 PENSAO.</t>
  </si>
  <si>
    <t>RECEITA C/ VARIACAO CAMBIAL.</t>
  </si>
  <si>
    <t>PERDAS C/ RESCISAO.</t>
  </si>
  <si>
    <t>MATERIAL DE COPA E COZINHA.</t>
  </si>
  <si>
    <t>SERV.DEDETIZACAO E CONTROLES PRAGAS.</t>
  </si>
  <si>
    <t>MUSICOS.</t>
  </si>
  <si>
    <t>MAO DE OBRA TERCERIZADOS.</t>
  </si>
  <si>
    <t>SERVICOS DE CHAVEIRO.</t>
  </si>
  <si>
    <t>SERV. ENCADERNACAO.</t>
  </si>
  <si>
    <t>MANUTENCAO INFORMATICA.</t>
  </si>
  <si>
    <t>DISPONIBILIDADE MOEDA ESTRANGEIRA.....</t>
  </si>
  <si>
    <t>CAIXA MOEDA ESTRANGEIRA.</t>
  </si>
  <si>
    <t>PIS/COFINS A COMPENSAR-ACAO JUDICIA.</t>
  </si>
  <si>
    <t>COML.EPI'S EQUIP. SEGURANCA LTDA.</t>
  </si>
  <si>
    <t>EMPRESA DE TRANSPORTE PAJUCARA LTDA.</t>
  </si>
  <si>
    <t>GAZIN ATACADO CENTRO OESTE LTDA.</t>
  </si>
  <si>
    <t>AFIXOCODE SOLUCOES GRAFICA LTDA.</t>
  </si>
  <si>
    <t>LIT DESIGN LTDA.</t>
  </si>
  <si>
    <t>LUMINARIAS DUDALUZ LTDA.</t>
  </si>
  <si>
    <t>ASKSUITE TECNOLOGIA LTDA.</t>
  </si>
  <si>
    <t>INSTITUTO ALFA REAL DE CULTURA.</t>
  </si>
  <si>
    <t>MVJ LOCACOES LTDA.</t>
  </si>
  <si>
    <t>TAXA DE SERVICO  FRIGOBAR.</t>
  </si>
  <si>
    <t>JUROS -ACAO PIS/COFINS.</t>
  </si>
  <si>
    <t>RECEITA COM EQUIVALENCIA PATRIMONIA....</t>
  </si>
  <si>
    <t>PERDAS E QUEBRAS ESTOQUE.</t>
  </si>
  <si>
    <t>ALUGUEIS VEICULOS.</t>
  </si>
  <si>
    <t>SERV. TRADUCAO INTERPRETE.</t>
  </si>
  <si>
    <t>SERVICOS DE ENGENHARIA.</t>
  </si>
  <si>
    <t>GRATIFICACAO.</t>
  </si>
  <si>
    <t>BANCO BRADESCO-AG.(0089)CCEE.</t>
  </si>
  <si>
    <t>PROMOCAO VACINA ANTI-GRIPAL.</t>
  </si>
  <si>
    <t>PROJETO IMPLANTACAO SISTEMA TOTVS.</t>
  </si>
  <si>
    <t>SERV. DE DESPACHANTES.</t>
  </si>
  <si>
    <t>DESPESAS INDEDUTIVEIS.</t>
  </si>
  <si>
    <t>PROJETO IMPLANTAÇÃO SISTEMA TOTVS</t>
  </si>
  <si>
    <t>CAMILA FERNANDA DA SILVA.</t>
  </si>
  <si>
    <t>COHESP MEDICAO DE CONSUMO PLAT 10.</t>
  </si>
  <si>
    <t>CAMARA DE COMERCIALIZACAO DE ENERGI.</t>
  </si>
  <si>
    <t>BUME TECNOLOGIA LTDA.</t>
  </si>
  <si>
    <t>OMEPAR SECURITIES INC.</t>
  </si>
  <si>
    <t>VARIACAO MONETARIA ATIVA.</t>
  </si>
  <si>
    <t>RECEITAS EVENTUAIS.</t>
  </si>
  <si>
    <t>IVANILSON DOS SANTOS BAHIA.</t>
  </si>
  <si>
    <t>MIGUEL DA SILVA.</t>
  </si>
  <si>
    <t>PROJ AMPL OPERACAO CSC CONTABIL/FIS.</t>
  </si>
  <si>
    <t>NUCLEO INFORMACAO COORD PONTO BR.</t>
  </si>
  <si>
    <t>BORIN BORRACHAS PLAST.E FERRAGENS.</t>
  </si>
  <si>
    <t>VIRONDA ADVOGADOS.</t>
  </si>
  <si>
    <t>NONIUS HOSPITALITY TECNOLOGY BRASIL.</t>
  </si>
  <si>
    <t>SABRE INTERNATIONAL,LLC.</t>
  </si>
  <si>
    <t>GILMAR AMORIM DOS SANTOS.</t>
  </si>
  <si>
    <t>APOIO TINTAS CENTER MAT CONST.</t>
  </si>
  <si>
    <t>ESSITY DO BRASIL IND E COM LTDA.</t>
  </si>
  <si>
    <t>OTA INSIGHT LTDA.</t>
  </si>
  <si>
    <t>ASSESSMENT CONSULTORIA EM TECNOLOG.</t>
  </si>
  <si>
    <t>WAL-MART BRASIL S/A.</t>
  </si>
  <si>
    <t>BVQI DO BRASIL SOC CERTIF LTDA.</t>
  </si>
  <si>
    <t>INSS OS 209 PAULA MENDES DEL REY.</t>
  </si>
  <si>
    <t>CONSULTORIA TECNICA.</t>
  </si>
  <si>
    <t>CIA. TRANSAMERICA DE HOTEIS - SAO PAULO                                                                                                                                                                                   [ HTSP     ]</t>
  </si>
  <si>
    <t>[ Controle de ativo fixo         ]                                                                                                                                                                                        [ rlafx005 ]</t>
  </si>
  <si>
    <t xml:space="preserve">                   Grupos/Especies                           </t>
  </si>
  <si>
    <t xml:space="preserve">   Qtd. Itens  </t>
  </si>
  <si>
    <t xml:space="preserve">      Valor     </t>
  </si>
  <si>
    <t xml:space="preserve">    Correcao    </t>
  </si>
  <si>
    <t xml:space="preserve">   Depreciacao  </t>
  </si>
  <si>
    <t xml:space="preserve">    Residual</t>
  </si>
  <si>
    <t xml:space="preserve">                                                             </t>
  </si>
  <si>
    <t xml:space="preserve">               </t>
  </si>
  <si>
    <t xml:space="preserve">    Original    </t>
  </si>
  <si>
    <t xml:space="preserve">    Acumulada   </t>
  </si>
  <si>
    <t xml:space="preserve">    Acumulado   </t>
  </si>
  <si>
    <t xml:space="preserve">       Mes      </t>
  </si>
  <si>
    <t xml:space="preserve">    Residual    </t>
  </si>
  <si>
    <t xml:space="preserve">DIFERIDO                                                     </t>
  </si>
  <si>
    <t xml:space="preserve">   PROJETO QUIOSQUE LA BASQUE TEC                            </t>
  </si>
  <si>
    <t xml:space="preserve">   PROJETO REFORMA CSC - ALFA                                </t>
  </si>
  <si>
    <t xml:space="preserve">   SOFTWARE APARTIR 2009                                     </t>
  </si>
  <si>
    <t xml:space="preserve">   SOFTWARE ATE 2008                                         </t>
  </si>
  <si>
    <t xml:space="preserve">                </t>
  </si>
  <si>
    <t xml:space="preserve">EDIFICACAO                                                   </t>
  </si>
  <si>
    <t xml:space="preserve">EQUIPAMENTO PROC. DE DADOS                                   </t>
  </si>
  <si>
    <t xml:space="preserve">INSTALACAO                                                   </t>
  </si>
  <si>
    <t xml:space="preserve">   INSTALACAO GERAL                                          </t>
  </si>
  <si>
    <t xml:space="preserve">MAQUINA E EQUIPAMENTO                                        </t>
  </si>
  <si>
    <t xml:space="preserve">   MAQUINAS E EQUIPAMENTOS ADM./O                            </t>
  </si>
  <si>
    <t xml:space="preserve">MARCAS E PATENTES                                            </t>
  </si>
  <si>
    <t xml:space="preserve">MATERIAL DE SERVICO                                          </t>
  </si>
  <si>
    <t xml:space="preserve">   CONFECCOES PARA CAMA                                      </t>
  </si>
  <si>
    <t xml:space="preserve">   LOUCAS E PORCELANAS                                       </t>
  </si>
  <si>
    <t xml:space="preserve">   MATERIAL SERV. DIVERSOS                                   </t>
  </si>
  <si>
    <t xml:space="preserve">   PRATARIA E INOX                                           </t>
  </si>
  <si>
    <t xml:space="preserve">   VIDROS E CRISTAIS                                         </t>
  </si>
  <si>
    <t xml:space="preserve">MOVEIS E UTENSILIOS                                          </t>
  </si>
  <si>
    <t xml:space="preserve">   MOVEIS E UTENSILIOS ADM./OPERA                            </t>
  </si>
  <si>
    <t xml:space="preserve">   MOVEIS E UTENSILIOS HOSPEDAGEM                            </t>
  </si>
  <si>
    <t xml:space="preserve">OBRAS DE ARTE                                                </t>
  </si>
  <si>
    <t xml:space="preserve">VEICULO                                                      </t>
  </si>
  <si>
    <t xml:space="preserve">Total geral ................................................ </t>
  </si>
  <si>
    <t>DANILO RIBEIRO DA SILVA.</t>
  </si>
  <si>
    <t>SH - MADEIRAS E FERRAGENS LTDA-EPP.</t>
  </si>
  <si>
    <t>IMPAKTO SIT. LIMPEZA DESCARTAVEL.</t>
  </si>
  <si>
    <t>MCF COMERCIO MAT.P/CONSTRUCAO LTDA.</t>
  </si>
  <si>
    <t>GIBRALTAR COM PROD LIMPEZA LTDA.</t>
  </si>
  <si>
    <t>ADTAIL SERVICOS DE PUBLICIDADES LTD.</t>
  </si>
  <si>
    <t>PANDA MATS ELETRICOS.</t>
  </si>
  <si>
    <t>SKYTEF SOLUCOES CAPTURA TRANS.LTDA.</t>
  </si>
  <si>
    <t>ASSESSORIA HEALTH CLUB.</t>
  </si>
  <si>
    <t>[ Controle de ativo fixo         ]                                                                                                                                                                                        [ rlafx002 ]</t>
  </si>
  <si>
    <t xml:space="preserve">    Correção    </t>
  </si>
  <si>
    <t xml:space="preserve">   Depreciação  </t>
  </si>
  <si>
    <t>-</t>
  </si>
  <si>
    <t>Nome da conta</t>
  </si>
  <si>
    <t>Edificacoes</t>
  </si>
  <si>
    <t>Instalacoes</t>
  </si>
  <si>
    <t>Sist De Comunicacao</t>
  </si>
  <si>
    <t>Maquinas E Equipamentos</t>
  </si>
  <si>
    <t>Equip Proc De Dados</t>
  </si>
  <si>
    <t>Moveis Utens Hosp</t>
  </si>
  <si>
    <t>Veiculos</t>
  </si>
  <si>
    <t>Obras De Arte</t>
  </si>
  <si>
    <t>Material De Servicos</t>
  </si>
  <si>
    <t>Vidros E Cristais</t>
  </si>
  <si>
    <t>Loucas E Porcelanas</t>
  </si>
  <si>
    <t>Prataria E Inox</t>
  </si>
  <si>
    <t>Vida útil 
econômica estimada</t>
  </si>
  <si>
    <t>Valor residua
l estimado</t>
  </si>
  <si>
    <t>Taxa mensal de 
despesa de depreciação</t>
  </si>
  <si>
    <t>Despesa de 
depreciação por mes</t>
  </si>
  <si>
    <t>Ajuste
 CPC - 27</t>
  </si>
  <si>
    <t>Conta</t>
  </si>
  <si>
    <t>TOTAL</t>
  </si>
  <si>
    <t>CIA. TRAN</t>
  </si>
  <si>
    <t>SAMERICA DE HOTEIS - SAO PAULO</t>
  </si>
  <si>
    <t>BALANCETE</t>
  </si>
  <si>
    <t>MENSAL</t>
  </si>
  <si>
    <t>PROJ. REESTRUTURACAO AREA COMERCIAL.</t>
  </si>
  <si>
    <t>PROJ DR INST. ELETRICA 5-6-7-8 ANDA.</t>
  </si>
  <si>
    <t>CASA DA EMBALAGEM COM. DE EMBALAGEM.</t>
  </si>
  <si>
    <t>ACF BRASIL COM DESC HIG LIMP LTDA.</t>
  </si>
  <si>
    <t>MAROL PISCINAS PRODS QUIMICOS.</t>
  </si>
  <si>
    <t>FAMMA GERADORES LTDA - ME.</t>
  </si>
  <si>
    <t>ASSOCIACAO BRASIL EMPR EVENTOS.</t>
  </si>
  <si>
    <t>ROMAH COM MAT HIDRAUL ELET SERV LTD.</t>
  </si>
  <si>
    <t>TOTAL PASS PARTICIPACOES LTDA.</t>
  </si>
  <si>
    <t>CANON DO BRASIL IND COM LTDA.</t>
  </si>
  <si>
    <t>CONCESSAO EMPREST.FUNC..</t>
  </si>
  <si>
    <t>TRANSFERENCIA ENTRE RESERVAS.</t>
  </si>
  <si>
    <t>ALFA PARTICIPAÇÕES INDUSTRIAIS LTDA.</t>
  </si>
  <si>
    <t>PROJ. AMPL. CSC - AUDITORIA INTERNA.</t>
  </si>
  <si>
    <t>LEO MADEIRAS, MAQUINAS &amp; FERRAGENS.</t>
  </si>
  <si>
    <t>NOVAMIX COMERCIAL DE ALIMENTOS LTDA.</t>
  </si>
  <si>
    <t>PURATOS BRASIL LTDA..</t>
  </si>
  <si>
    <t>COM.MAT.HOSPITALARES ASSIT.TEC ZS.</t>
  </si>
  <si>
    <t>CDI BARRA PRODUTOS - IMP. EXPORT..</t>
  </si>
  <si>
    <t>KISABOR ALIMENTOS LTDA-EPP..</t>
  </si>
  <si>
    <t>CWI COMERCIO DE BEBIDAS LTDA..</t>
  </si>
  <si>
    <t>LATICINIOS TIROLEZ LTDA.</t>
  </si>
  <si>
    <t>GRECCO ALIMENTOS LTDA-ME..</t>
  </si>
  <si>
    <t>ODONTOPREV S/A.</t>
  </si>
  <si>
    <t>DLM ENERGY MANUTENCAO INFORMATICA.</t>
  </si>
  <si>
    <t>GIARDINI COM.DE PROD.ALIMENTICIOS.</t>
  </si>
  <si>
    <t>PORCO FELIZ - COMERCIO DE CARNES LT.</t>
  </si>
  <si>
    <t>JRT SAHIUM - EPP.</t>
  </si>
  <si>
    <t>LATICINIOS SIBERIA LTDA.</t>
  </si>
  <si>
    <t>JBS S/A.</t>
  </si>
  <si>
    <t>RENTAL BRASIL LOCACOES LTDA.</t>
  </si>
  <si>
    <t>CARREFOUR COM E IND LTDA.</t>
  </si>
  <si>
    <t>ROLDAO AUTO SERVICO COM.ALIMENTOS.</t>
  </si>
  <si>
    <t>S.SALES EQUIP.E PROD.HIGIENICOS.</t>
  </si>
  <si>
    <t>DISTR.FRIOS LAT.CASTELO DA BEIRA LT.</t>
  </si>
  <si>
    <t>MAFRIG GLOBAL FOODS SA.</t>
  </si>
  <si>
    <t>TRAVELCLICK IND.</t>
  </si>
  <si>
    <t>GOMES FREIRE COM PROD ALIMENTICIOS.</t>
  </si>
  <si>
    <t>BAT TEC SERV FACHADAS LTDA.</t>
  </si>
  <si>
    <t>AMBEV S.A.</t>
  </si>
  <si>
    <t>KD SOLUTIONS COM DE MAT CONSTR.LTDA.</t>
  </si>
  <si>
    <t>COMPANHIA ZAFFARI COM E IND LTDA.</t>
  </si>
  <si>
    <t>FRANCISCO CARLOS COUTO DOS SANTOS.</t>
  </si>
  <si>
    <t>COOPERATIVA CENTRAL AURORA ALIM.</t>
  </si>
  <si>
    <t>DISTRIBUIDORA PLANETA ALIMENTOS.</t>
  </si>
  <si>
    <t>MEF CONFECAO LTDA ME.</t>
  </si>
  <si>
    <t>PREMIER PESCADOS COMERCIO E IMPORTA.</t>
  </si>
  <si>
    <t>SELOPACK EQUIPAMENTOS EIRELI.</t>
  </si>
  <si>
    <t>FILMAVAC COM EMBALAGENS EIRELLI.</t>
  </si>
  <si>
    <t>PIANOFATURA PAULISTA LTDA.</t>
  </si>
  <si>
    <t>DUTRA MAQUINAS COMERCIAL E TECNICA.</t>
  </si>
  <si>
    <t>FLOWERS DESIGN LTDA.</t>
  </si>
  <si>
    <t>VEGAIT TECNOLOGIA DE INFORMAÇÃO EIR.</t>
  </si>
  <si>
    <t>AROUMAR DIST.DE PROD,ALIM.LTDA.</t>
  </si>
  <si>
    <t>MECANO PACK EMBALAGENS LTDA.</t>
  </si>
  <si>
    <t>BRASALIMENT IND COM LTDA.</t>
  </si>
  <si>
    <t>KALUNGA COM IND GRAFICA LTDA.</t>
  </si>
  <si>
    <t>SPAL IND BRASILEIRA DE BEBIDAS.</t>
  </si>
  <si>
    <t>LEO MADEIRAS,MAQUINAS E FERRAMENTAS.</t>
  </si>
  <si>
    <t>IMPERIAL BAKERY COM PROD ALIM LTDA.</t>
  </si>
  <si>
    <t>NETWORKSEC SOLUCOES SEGURANCA LTDA.</t>
  </si>
  <si>
    <t>LA BASQUE ALIM. LTDA.</t>
  </si>
  <si>
    <t>SERVICOS DE BUFFET.</t>
  </si>
  <si>
    <t>CIA TRANSAMERICA HOTEIS NORDESTE.</t>
  </si>
  <si>
    <t>METRO TECNOLOGIA E SERVIÇOS LTDA.</t>
  </si>
  <si>
    <t>AGROPALMA SA.</t>
  </si>
  <si>
    <t>COMPANHIA REFINADORA DA AMAZONIA.</t>
  </si>
  <si>
    <t>INDUSTRIAS XHARA LTDA..</t>
  </si>
  <si>
    <t>TELEVISAO TRANSAMERICA LTDA.</t>
  </si>
  <si>
    <t>PROJ. TROCA FECHADURAS ELETR. APTOS.</t>
  </si>
  <si>
    <t>ECAD-ESCR.C.ARRED.DIST.DIR.AUTORAIS.</t>
  </si>
  <si>
    <t>PREVENÇÃO VIGILANCIA E SEGURANÇA LT.</t>
  </si>
  <si>
    <t>VEPAN ELETROTECNICA LTDA.</t>
  </si>
  <si>
    <t>DATASUPRI BRASIL INFORMATICA LTDA.</t>
  </si>
  <si>
    <t>CONFORTO ENGENHARIA AMBIENTAL LTDA.</t>
  </si>
  <si>
    <t>M E B EMBALAGENS DESCARTAVEIS LTDA.</t>
  </si>
  <si>
    <t>RZ FABRICACAO E COM. DE GELO - ME.</t>
  </si>
  <si>
    <t>SAGA SYSTEMS PRODUTOS ELETRONICOS.</t>
  </si>
  <si>
    <t>PISSANI IND.E COM.DE ALIMENTOS LTDA.</t>
  </si>
  <si>
    <t>LUIZ LEME DOS SANTOS PROJETOS MR.</t>
  </si>
  <si>
    <t>PCJ - PROMATEC EQUIP.SERVI?OS LTDA.</t>
  </si>
  <si>
    <t>ENTREPOSTO CASA CARNES DANIELLA LT.</t>
  </si>
  <si>
    <t>CIA DE GAS DE S PAULO -COMGAS.</t>
  </si>
  <si>
    <t>CALIMP IMPORT.E EXPORTACAO LTDA.</t>
  </si>
  <si>
    <t>PROCESSOR INFORMATICA S/A.</t>
  </si>
  <si>
    <t>ENGEFOOD EQUIP ENG E REPRES.</t>
  </si>
  <si>
    <t>ENGEFOOD ASSISTENCIA TECNICA LTDA.</t>
  </si>
  <si>
    <t>DELTA P ELETROMECANICA LTDA - EPP.</t>
  </si>
  <si>
    <t>TINTAS LUSACOR LTDA.</t>
  </si>
  <si>
    <t>99 TAXIS DESENV.SOFTWARES LTDA.</t>
  </si>
  <si>
    <t>VALTELETRICA INSTALACOES MANUT LTDA.</t>
  </si>
  <si>
    <t>GUSTAVO SOARES LOPES.</t>
  </si>
  <si>
    <t>SENDAS DISTRIBUIDORA S/A.</t>
  </si>
  <si>
    <t>ANACONDA INDL AGRIC CEREAIS SA.</t>
  </si>
  <si>
    <t>ERVAS FINAS HORTICULTURA LTDA.</t>
  </si>
  <si>
    <t>TRES CORACOES ALIMENTOS SA.</t>
  </si>
  <si>
    <t>MATTARELLO ALIMENTOS LTDA.</t>
  </si>
  <si>
    <t>INVITAT GOURMET - EIRELI - ME.</t>
  </si>
  <si>
    <t>DCA ETIQUETAS COM SERV BALANCA.</t>
  </si>
  <si>
    <t>ATACADISTA KING FOOD ALIMEN EIRELI.</t>
  </si>
  <si>
    <t>CLAUDIA MARIA DA CRUZ.</t>
  </si>
  <si>
    <t>LISTENX SERVICOS DE MUNICA COMUNICA.</t>
  </si>
  <si>
    <t>CG FOODS DISTRIB.DE ALIMENTOS LTDA.</t>
  </si>
  <si>
    <t>FRANCE PANIFICACAO LTDA.</t>
  </si>
  <si>
    <t>LATICINIOS CATUPIRY LTDA.</t>
  </si>
  <si>
    <t>TECNOPAN ASS TEC EM EQUIPAMENTOS LT.</t>
  </si>
  <si>
    <t>CALIBRATEC MANUTENCAO DE EQUIP LTDA.</t>
  </si>
  <si>
    <t>ESPACIAL SUP ESCRIT INF LTDA.</t>
  </si>
  <si>
    <t>NESTLE BRASIL LTDA.</t>
  </si>
  <si>
    <t>JMK DESIGN GESTAO DE NEGOCIO EIRELI.</t>
  </si>
  <si>
    <t>PAULO A DE OLIVEIRA BRIGADISTA.</t>
  </si>
  <si>
    <t>MAIS GENTE SERV.LOC.EQUIP.BENS MOVE.</t>
  </si>
  <si>
    <t>WS PURIFICADORES DE AMBIENTES EIREL.</t>
  </si>
  <si>
    <t>LEPOK INFORMATICA E PAPELARIA LTDA.</t>
  </si>
  <si>
    <t>FAVE COMERCIO E DISTRIBUIDORA LTDA.</t>
  </si>
  <si>
    <t>A GERADORA ALUGUEL DE MAQUINAS.</t>
  </si>
  <si>
    <t>EDELMAN DO BRASIL CONSULTORIA E COM.</t>
  </si>
  <si>
    <t>CASA FLORA LTDA.</t>
  </si>
  <si>
    <t>ANA CAROLINA DA LUZ AGAPITO DE OLIV.</t>
  </si>
  <si>
    <t>COOMTECCHESP.</t>
  </si>
  <si>
    <t>ALL FOOD IMP. EXP. LTDA.</t>
  </si>
  <si>
    <t>BRADESCO SAUDE S/A.</t>
  </si>
  <si>
    <t>CASA RAMOS MATS ELETRICOS LTDA.</t>
  </si>
  <si>
    <t>GABRILINA COMERCIO EMBALAGENS LTDA.</t>
  </si>
  <si>
    <t>CMC PARKING ADM ESTAC S/C LTDA.</t>
  </si>
  <si>
    <t>SUPRISUL LOCACAO E SERVICO LTDA.</t>
  </si>
  <si>
    <t>LELIS DESIGN LOUCAS METAIS SANIT.</t>
  </si>
  <si>
    <t>VISUAL ARTES GRAFICAS LTDA.</t>
  </si>
  <si>
    <t>ICMS S/ DEV. SAIDAS.</t>
  </si>
  <si>
    <t>INSS OS 209 - FAQUI SEGURANCA VIGIL.</t>
  </si>
  <si>
    <t>INSS OS 209 PREVENCAO VIG. SEGURANC.</t>
  </si>
  <si>
    <t>INSS OS 209 MAIS GENTE SERV.LOC.EQU.</t>
  </si>
  <si>
    <t>INSS OS 209 PAULO A.OLIVEIRA BRIGAD.</t>
  </si>
  <si>
    <t>ANSERVE - FRIGOBAR.</t>
  </si>
  <si>
    <t>TRANSFER II.</t>
  </si>
  <si>
    <t>ORNAMENTOS E DECORACOES.</t>
  </si>
  <si>
    <t>REC COM BUFFET.</t>
  </si>
  <si>
    <t>SERVICOS SEGURANCA.</t>
  </si>
  <si>
    <t>SERV. DE SEGURANCA.</t>
  </si>
  <si>
    <t>SERVICOS DE MAO DE OBRA COOPERADA.</t>
  </si>
  <si>
    <t xml:space="preserve">   MOVEIS E UTENSILIOS BANQUETE                              </t>
  </si>
  <si>
    <t>CPC 27 DE  10/2020 - HTSP</t>
  </si>
  <si>
    <t>RADIO TRANSAMERICA DE SAO PAULO.</t>
  </si>
  <si>
    <t>GISELE CAMPOS DA SILVA.</t>
  </si>
  <si>
    <t>COMPANHIA BRASILEIRA DISTRIBUICAO.</t>
  </si>
  <si>
    <t>BELI MAT.DE HIGIENE E DESCARTAVEIS.</t>
  </si>
  <si>
    <t>SOEDRAL SOC.ELETRICA HIDRAULICA LTD.</t>
  </si>
  <si>
    <t>FOUR J`S DO BRASIL DESENV.SOFTWARE.</t>
  </si>
  <si>
    <t>SNAP IT INFORMATICA LTDA.</t>
  </si>
  <si>
    <t>BIG BOX COM ARTIGOS PLASTICOS LTDA.</t>
  </si>
  <si>
    <t>VONEY MARCEL EVANELISTA DE MELO.</t>
  </si>
  <si>
    <t>BOOKING.COM BRASIL SERV.DE RESERVA.</t>
  </si>
  <si>
    <t>EXPEDIA DO BRASIL AG.VIAG.TURISMOS.</t>
  </si>
  <si>
    <t>EMBALAGENS INTERLAGOS LTDA.</t>
  </si>
  <si>
    <t>PRECOLANDIA COMERCIAL LTDA.</t>
  </si>
  <si>
    <t>ANSERVE COM.DE BEBIDAS E ALIMENTOS.</t>
  </si>
  <si>
    <t>EASY SOLUTIONS E SERVICOS LTDA - ME.</t>
  </si>
  <si>
    <t>EXTINTEX MATERIAIS DE SEGURANCA LT.</t>
  </si>
  <si>
    <t>GAMBARU PRESTADOR SERV.ELETRONICOS.</t>
  </si>
  <si>
    <t>SCANSOURCE BRASIL DIST TEC LTDA.</t>
  </si>
  <si>
    <t>FLORA VERDE - PAISAGISMO E MANUTEN.</t>
  </si>
  <si>
    <t>TRIGUEIRO FONTES SOC ADVOGADOS.</t>
  </si>
  <si>
    <t>ADD REAL TECNOLOGIA LTDA.</t>
  </si>
  <si>
    <t>BRANDGRAFICA IND EMBAL PROMOCIONAIS.</t>
  </si>
  <si>
    <t>APETITO FOODS LTDA.</t>
  </si>
  <si>
    <t>PAULA MENDES DEL REY CONSTRUCOES ME.</t>
  </si>
  <si>
    <t>BOTIGAS COM. PECAS CONEXOES GAS LTD.</t>
  </si>
  <si>
    <t>VIGOR ALIMENTOS S.A.</t>
  </si>
  <si>
    <t>KARIN SAMATHA GIORGETTA.</t>
  </si>
  <si>
    <t>EMPORIO DAS VELAS LTDA.</t>
  </si>
  <si>
    <t>KATIA REGINA DE BRITO EPP.</t>
  </si>
  <si>
    <t>TRU COMMERCE IMP EXP E COM ROUPA.</t>
  </si>
  <si>
    <t>HAVANA COMERCIO LTDA.</t>
  </si>
  <si>
    <t>INFORSHOP SUPRIMENTOS LTDA.</t>
  </si>
  <si>
    <t>FLAVIA MARIA CARDIM.</t>
  </si>
  <si>
    <t>CUCINARE PRO ALIMENTACAO.</t>
  </si>
  <si>
    <t>FERNANDA MAGRI A FIGUEIREDO.</t>
  </si>
  <si>
    <t>OPTUM HEALTH &amp; TEC SERV BRASIL LTDA.</t>
  </si>
  <si>
    <t>RBS DOS STOS REVESTIMENTOS.</t>
  </si>
  <si>
    <t>HARD FLOOR COM.SERV. DE PISOS.</t>
  </si>
  <si>
    <t>AMR TECHNICAL SERVICO E COMERCIAL.</t>
  </si>
  <si>
    <t>PREMIER IT GLOBAL SERVICES LTDA.</t>
  </si>
  <si>
    <t>DELLA &amp; DELLA REPARACOES DE MOVEIS.</t>
  </si>
  <si>
    <t>DELICIUS BUFFET EIRELI.</t>
  </si>
  <si>
    <t>TAMARA FERREIRA FONSECA.</t>
  </si>
  <si>
    <t>REAL COMERCIAL LTDA.</t>
  </si>
  <si>
    <t>DRAKKAR INDUTR DE DESCARTAVEIS E EP.</t>
  </si>
  <si>
    <t>OFF COMERCIO DE ALIMENTOS EIRELI.</t>
  </si>
  <si>
    <t>BE PAPER DECORACOES LTDA.</t>
  </si>
  <si>
    <t>OSMAR GOMES PEREIRA 17786543805.</t>
  </si>
  <si>
    <t>ALIANCA COMERCIO DE BOBINAS LTDA.</t>
  </si>
  <si>
    <t>PAXON COMERCIAL ELETRO LTDA.</t>
  </si>
  <si>
    <t>NESTLE INDL E COML LTDA.</t>
  </si>
  <si>
    <t>MAVARO IND COM LTDA.</t>
  </si>
  <si>
    <t>DAL FABBRO CONSULT ENGENHARIA S/C.</t>
  </si>
  <si>
    <t>G.F. IND.COM. GUARDANAPOS LTDA.</t>
  </si>
  <si>
    <t>COPIAS E SERVICOS PINHEIROS LTDA.</t>
  </si>
  <si>
    <t>VARGAS ADVOGADOS ASSOCIADOS.</t>
  </si>
  <si>
    <t>ATENAS DECORACOES LTDA EPP.</t>
  </si>
  <si>
    <t>TRANSAMERICA HOLDINGS LTDA.</t>
  </si>
  <si>
    <t>IR S/MUTUOS - COD.3426.</t>
  </si>
  <si>
    <t>PIS - COD.5979.</t>
  </si>
  <si>
    <t>INSS OS 209 ATMOSFERA GESTAO HIG..</t>
  </si>
  <si>
    <t>INSS OS 209 PREMIER IT GLOBAL SERVI.</t>
  </si>
  <si>
    <t>ALFASTAR PARTICIPACOES LTDA.</t>
  </si>
  <si>
    <t>REC COM INTERNET.</t>
  </si>
  <si>
    <t>RECEITAS C/ ALIENACAO BENS E DIREIT...</t>
  </si>
  <si>
    <t>RECEITA C/ ALIENACAO DE IMOBILIZADO.</t>
  </si>
  <si>
    <t>ASSESSORIA TECNICA.</t>
  </si>
  <si>
    <t>SERV. INSTAL. ELETRICA E HIDRAULICA.</t>
  </si>
  <si>
    <t>AUXILIO CRECHE.</t>
  </si>
  <si>
    <t>ABONO FERIAS 1/3.</t>
  </si>
  <si>
    <t>MEDICAMENTOS.</t>
  </si>
  <si>
    <t>SERV. DE TERCEIROS.</t>
  </si>
  <si>
    <t>AUDITORIA DE ORDEM E RISCO.</t>
  </si>
  <si>
    <t>TAXA DE ADMINIST. VISA.</t>
  </si>
  <si>
    <t xml:space="preserve">   EDIFICACAO TORRE NORTE                                    </t>
  </si>
  <si>
    <t xml:space="preserve">   EDIFICACAO TORRE SUL                                      </t>
  </si>
  <si>
    <t xml:space="preserve">   HELIPONTO                                                 </t>
  </si>
  <si>
    <t xml:space="preserve">   PASSARELA                                                 </t>
  </si>
  <si>
    <t xml:space="preserve">   QUADRAS/PISCINA                                           </t>
  </si>
  <si>
    <t xml:space="preserve">   RESTAURANTE ANTURIUS                                      </t>
  </si>
  <si>
    <t xml:space="preserve">   SALA VIP TEC/SP/TAM                                       </t>
  </si>
  <si>
    <t xml:space="preserve">   ACCESS POINT                                              </t>
  </si>
  <si>
    <t xml:space="preserve">   CELULAR/IPHONE/IPAD                                       </t>
  </si>
  <si>
    <t xml:space="preserve">   CHAVEADOR                                                 </t>
  </si>
  <si>
    <t xml:space="preserve">   COLETOR DE DADOS                                          </t>
  </si>
  <si>
    <t xml:space="preserve">   CONTROLADOR DE REDE                                       </t>
  </si>
  <si>
    <t xml:space="preserve">   CONVERSOR SINAL DE VIDEO                                  </t>
  </si>
  <si>
    <t xml:space="preserve">   EQTO PROCES. DADOS DIVERSOS                               </t>
  </si>
  <si>
    <t xml:space="preserve">   EQTO SISTEMA SEGURANCA DE REDE                            </t>
  </si>
  <si>
    <t xml:space="preserve">   GRAVADOR DE CD                                            </t>
  </si>
  <si>
    <t xml:space="preserve">   IMPRESSORA                                                </t>
  </si>
  <si>
    <t xml:space="preserve">   LEITOR/GRAVADOR CARTAO CREDITO                            </t>
  </si>
  <si>
    <t xml:space="preserve">   MICROCOMPUTADOR                                           </t>
  </si>
  <si>
    <t xml:space="preserve">   MONITOR                                                   </t>
  </si>
  <si>
    <t xml:space="preserve">   NOTEBOOK                                                  </t>
  </si>
  <si>
    <t xml:space="preserve">   PARTH-RAS                                                 </t>
  </si>
  <si>
    <t xml:space="preserve">   PATCH-PANEL                                               </t>
  </si>
  <si>
    <t xml:space="preserve">   PLACA GRAVADORA IMAGENS                                   </t>
  </si>
  <si>
    <t xml:space="preserve">   PLATAFORMA ANDROID P/ BOX TV                              </t>
  </si>
  <si>
    <t xml:space="preserve">   RELOGIO DE PONTO DIGITAL                                  </t>
  </si>
  <si>
    <t xml:space="preserve">   ROTEADOR                                                  </t>
  </si>
  <si>
    <t xml:space="preserve">   SCANNER                                                   </t>
  </si>
  <si>
    <t xml:space="preserve">   SERVIDOR                                                  </t>
  </si>
  <si>
    <t xml:space="preserve">   SWITCH                                                    </t>
  </si>
  <si>
    <t xml:space="preserve">   TERMINAL SERVER                                           </t>
  </si>
  <si>
    <t xml:space="preserve">   TOTEM ELETRONICO P/ CHEK-IN                               </t>
  </si>
  <si>
    <t xml:space="preserve">   UNIDADE DE BACK-UP                                        </t>
  </si>
  <si>
    <t xml:space="preserve">   INSTALACAO HOSPEDAGEM                                     </t>
  </si>
  <si>
    <t xml:space="preserve">   GRAMPEADOR INDUSTRIAL                                     </t>
  </si>
  <si>
    <t xml:space="preserve">   MAQUINA POLIDORA DE SAPATOS                               </t>
  </si>
  <si>
    <t xml:space="preserve">   MAQUINAS E EQUIPAMENTOS HOSPED                            </t>
  </si>
  <si>
    <t xml:space="preserve">   MAQUINAS E EQUIPAMENTOS SEGURA                            </t>
  </si>
  <si>
    <t xml:space="preserve">   MAQUINAS EQUIPAMENTOS - FERRAM                            </t>
  </si>
  <si>
    <t xml:space="preserve">   MARCAS/PATENTES                                           </t>
  </si>
  <si>
    <t xml:space="preserve">   DECORACAO                                                 </t>
  </si>
  <si>
    <t xml:space="preserve">   ESCULTURA                                                 </t>
  </si>
  <si>
    <t xml:space="preserve">   QUADRO                                                    </t>
  </si>
  <si>
    <t xml:space="preserve">   TAPETES                                                   </t>
  </si>
  <si>
    <t xml:space="preserve">   TRATOR                                                    </t>
  </si>
  <si>
    <t xml:space="preserve">   VEICULO                                                   </t>
  </si>
  <si>
    <t>AQUISIÇÕES
2020</t>
  </si>
  <si>
    <t>Participações CSC Alfa
2020</t>
  </si>
  <si>
    <t>TRANSF.
PROJETOS 2020</t>
  </si>
  <si>
    <t>DEPRECIAÇÃO
2020</t>
  </si>
  <si>
    <t>BAIXAS
2020</t>
  </si>
  <si>
    <t>MOVIMENTAÇÃO PATRIMONIAL HTSP - DEZEMBRO 2020</t>
  </si>
  <si>
    <t>SALDO
31/12/2020</t>
  </si>
  <si>
    <t>Referente: 2020-12</t>
  </si>
  <si>
    <t>FABIANA TRINDADE.</t>
  </si>
  <si>
    <t>PROJETO BOULANGERIE HT.</t>
  </si>
  <si>
    <t>ALPHA TERMIC INDL E COML LTDA.</t>
  </si>
  <si>
    <t>GLOBAL TRADUCOES SC LTDA.</t>
  </si>
  <si>
    <t>ARS CONSULTORIA ELETRICA LTDA - ME.</t>
  </si>
  <si>
    <t>VIP TRIP TURISMO LTDA.</t>
  </si>
  <si>
    <t>CASA SANTA LUZIA IMP LTDA.</t>
  </si>
  <si>
    <t>COMERCIO DE PEDRAS SETE LAGOAS.</t>
  </si>
  <si>
    <t>CASTOR ALIMENTOS LTDA.</t>
  </si>
  <si>
    <t>MARE SERVICOS POSTAIS LTDA.</t>
  </si>
  <si>
    <t>ALTEC COM.ASSIST.TECNICA CADEIRAS.</t>
  </si>
  <si>
    <t>SOLUTION CARD COM.SUPR.INFOAMTICA.</t>
  </si>
  <si>
    <t>WAL-MART BRASIL LTDA.</t>
  </si>
  <si>
    <t>ELETRICA BASSI LTDA.</t>
  </si>
  <si>
    <t>COOPERTESP - COOP TRAB MOTOR.</t>
  </si>
  <si>
    <t>FUNDACAO 25 DE JANEIRO.</t>
  </si>
  <si>
    <t>R3FIT COM EQ GINASTICA ART.EPORTIVO.</t>
  </si>
  <si>
    <t>PERSONAL LAR COMERCIO E SERVICOS LT.</t>
  </si>
  <si>
    <t>Z-PAR PARAFUSUS E FERRAMENTAS LTDA.</t>
  </si>
  <si>
    <t>ELETRON SERVICE COM.SERV.LTDA.</t>
  </si>
  <si>
    <t>NCCO CONSULTORIA OCUPACIONAL LTDA.</t>
  </si>
  <si>
    <t>COMBULUZ DISTRIB.PROD.PETROLEO LTDA.</t>
  </si>
  <si>
    <t>VINCO SERVICOS DE TECNOLOGIA LTDA.</t>
  </si>
  <si>
    <t>LOPEZ &amp; CIOFFI PRODUTO LIMPEZA LTDA.</t>
  </si>
  <si>
    <t>PUBLICUM SERVICOS DE DIGITACAO LTDA.</t>
  </si>
  <si>
    <t>NACIONAL SERVICOS HIDRAULICOS LTDA.</t>
  </si>
  <si>
    <t>JOTA SAURO REFORMAS EM GERAL LTDA.</t>
  </si>
  <si>
    <t>EQUIBOMBAS SP COMERCIAL LTDA.</t>
  </si>
  <si>
    <t>VALID CERTIFICADORA DIGITAL LTDA.</t>
  </si>
  <si>
    <t>PERFILLASER SISTEMAS DE IMPRESSA0.</t>
  </si>
  <si>
    <t>BRANDAO E BRANDAO COM DOCES LTDA.</t>
  </si>
  <si>
    <t>FERNANDO GABRIEL DE MENEZES.</t>
  </si>
  <si>
    <t>SIMPRESS COMERCIO LOCACAO E SERV.</t>
  </si>
  <si>
    <t>PROVIG FORMACAO DE PROF DE SEG LTDA.</t>
  </si>
  <si>
    <t>VIPACKPEL EMBALAGENS LTDA ME.</t>
  </si>
  <si>
    <t>TREINAMED TRAT E MEDICINA OCUPACION.</t>
  </si>
  <si>
    <t>WARETECH TECNOLOGIA  E INFORMATICA.</t>
  </si>
  <si>
    <t>INRESSE-INGRESSE PARA EVENTOS SA.</t>
  </si>
  <si>
    <t>OFFICE &amp; FACILITY SERV DE DECORACAO.</t>
  </si>
  <si>
    <t>THE HOTELS NETWORK, SL.</t>
  </si>
  <si>
    <t>MIL ACESSESSORIOS E PROD P CONFEITA.</t>
  </si>
  <si>
    <t>AGF OFFICE &amp; GARDEM MOVEIS LTDA.</t>
  </si>
  <si>
    <t>SISQUAL - EMP PESQ. DES. SIS INFORM.</t>
  </si>
  <si>
    <t>RIZZI COMERCIO DE ARTIGOS P DECORAC.</t>
  </si>
  <si>
    <t>DIAS PASTORINHO SA.</t>
  </si>
  <si>
    <t>SENDAS DISTRIBUIDORA SA.</t>
  </si>
  <si>
    <t>DOCES DOCELANDIA E VAZ LTDA.</t>
  </si>
  <si>
    <t>MERCEARIA HEIWA LTDA.</t>
  </si>
  <si>
    <t>CRISTAMAR EQUIP IND E COM.</t>
  </si>
  <si>
    <t>HARDY VIAGENS E TURISMO LTDA..</t>
  </si>
  <si>
    <t>RENT RADIUS COMUNICACAO LTDA.</t>
  </si>
  <si>
    <t>CARREFOUR COM E IND. LTDA.</t>
  </si>
  <si>
    <t>A THIELE IMPORTADORA LTDA.</t>
  </si>
  <si>
    <t>NOVO MILENIO COMERCIO REFRIGERACOES.</t>
  </si>
  <si>
    <t>ISET CENTRO DE CULTURA E TURISMO LT.</t>
  </si>
  <si>
    <t>C E C CASA E CONSTRUCAO.</t>
  </si>
  <si>
    <t>DEXCAR INDUSTRIA COMERCIO LTDA.</t>
  </si>
  <si>
    <t>JACQSA COML. DIST.VIDROS TEMP.LTDA.</t>
  </si>
  <si>
    <t>VIMEG COMERCIO DE CHOCOLATES LTDA.</t>
  </si>
  <si>
    <t>INSS OS 209 JOTA SAURO REF GERAL.</t>
  </si>
  <si>
    <t>TAXA S/ ENTREGA DE BRINDES.</t>
  </si>
  <si>
    <t>Relatório Valores do Ativo Imobilizado (Saldos (Geral))                                                                  Período: 12/2020                                                                                    Pag.    1</t>
  </si>
  <si>
    <t>*** TRANSAMERICA SISTEMAS ***                                                                                                                                                                            Emissao: 16/01/2021  21:34:51</t>
  </si>
  <si>
    <t>Relatório Valores do Ativo Imobilizado (Local: 929 - CPC/SISTEMAS - ARRENDAMENTO EQ)                                     Período: 12/2020                                                                                    Pag.    1</t>
  </si>
  <si>
    <t>*** TRANSAMERICA SISTEMAS ***                                                                                                                                                                            Emissao: 16/01/2021  21:46:23</t>
  </si>
  <si>
    <t>Relatório Valores do Ativo Imobilizado  - AQUISICAO                                                                      Período: 12/2020                                                                                    Pag.    1</t>
  </si>
  <si>
    <t>SOFTWARE</t>
  </si>
  <si>
    <t xml:space="preserve">Critério de Seleção: afx_afxbem.cmpprj_cod is null and afx_afxmov.afxmov_dt_mov between '20201201 00:00:00.000' and '20201231 00:00:00.000'                                                                                           </t>
  </si>
  <si>
    <t>Relatório Valores do Ativo Imobilizado  - AQUISICAO   PROJETOS                                                      Período: 12/2020                                                                                    Pag.    1</t>
  </si>
  <si>
    <t xml:space="preserve">Critério de Seleção: afx_afxbem.cmpprj_cod between 1000 and 1143 and afx_afxmov.afxmov_dt_mov between '20201201 00:00:00.000' and '20201231 00:00:00.000'                                                                             </t>
  </si>
  <si>
    <t>* Apenas controle contábil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</si>
</sst>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\-"/>
  </numFmts>
  <fonts count="3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0"/>
      <color indexed="10"/>
      <name val="Times New Roman"/>
      <family val="1"/>
    </font>
    <font>
      <b/>
      <sz val="10"/>
      <color indexed="10"/>
      <name val="Arial"/>
      <family val="2"/>
    </font>
    <font>
      <sz val="8"/>
      <name val="Arial"/>
      <family val="2"/>
    </font>
    <font>
      <b/>
      <u/>
      <sz val="1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8"/>
      <color theme="3"/>
      <name val="Cambria"/>
      <family val="2"/>
      <scheme val="major"/>
    </font>
    <font>
      <b/>
      <sz val="13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Microsoft Sans Serif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0"/>
      <color rgb="FFFF000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theme="4"/>
      </left>
      <right/>
      <top style="double">
        <color theme="4"/>
      </top>
      <bottom style="double">
        <color theme="4"/>
      </bottom>
      <diagonal/>
    </border>
    <border>
      <left/>
      <right/>
      <top style="double">
        <color theme="4"/>
      </top>
      <bottom style="double">
        <color theme="4"/>
      </bottom>
      <diagonal/>
    </border>
    <border>
      <left style="thin">
        <color indexed="64"/>
      </left>
      <right style="double">
        <color theme="4"/>
      </right>
      <top style="double">
        <color theme="4"/>
      </top>
      <bottom style="double">
        <color theme="4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/>
      <right/>
      <top/>
      <bottom style="double">
        <color theme="4"/>
      </bottom>
      <diagonal/>
    </border>
    <border>
      <left style="thin">
        <color theme="1"/>
      </left>
      <right style="thin">
        <color theme="1"/>
      </right>
      <top style="double">
        <color theme="4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ouble">
        <color auto="1"/>
      </left>
      <right style="thin">
        <color auto="1"/>
      </right>
      <top/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 style="double">
        <color theme="4"/>
      </bottom>
      <diagonal/>
    </border>
    <border>
      <left style="thin">
        <color auto="1"/>
      </left>
      <right style="double">
        <color auto="1"/>
      </right>
      <top/>
      <bottom style="double">
        <color theme="4"/>
      </bottom>
      <diagonal/>
    </border>
  </borders>
  <cellStyleXfs count="47">
    <xf numFmtId="0" fontId="0" fillId="0" borderId="0"/>
    <xf numFmtId="164" fontId="4" fillId="0" borderId="0" applyFont="0" applyFill="0" applyBorder="0" applyAlignment="0" applyProtection="0"/>
    <xf numFmtId="0" fontId="15" fillId="0" borderId="1" applyNumberFormat="0" applyFill="0" applyAlignment="0" applyProtection="0"/>
    <xf numFmtId="0" fontId="16" fillId="0" borderId="2" applyNumberFormat="0" applyFill="0" applyAlignment="0" applyProtection="0"/>
    <xf numFmtId="0" fontId="17" fillId="0" borderId="3" applyNumberFormat="0" applyFill="0" applyAlignment="0" applyProtection="0"/>
    <xf numFmtId="0" fontId="18" fillId="3" borderId="0" applyNumberFormat="0" applyBorder="0" applyAlignment="0" applyProtection="0"/>
    <xf numFmtId="0" fontId="20" fillId="0" borderId="0" applyNumberFormat="0" applyFill="0" applyBorder="0" applyAlignment="0" applyProtection="0"/>
    <xf numFmtId="0" fontId="21" fillId="0" borderId="13" applyNumberFormat="0" applyFill="0" applyAlignment="0" applyProtection="0"/>
    <xf numFmtId="0" fontId="16" fillId="0" borderId="0" applyNumberFormat="0" applyFill="0" applyBorder="0" applyAlignment="0" applyProtection="0"/>
    <xf numFmtId="0" fontId="22" fillId="5" borderId="0" applyNumberFormat="0" applyBorder="0" applyAlignment="0" applyProtection="0"/>
    <xf numFmtId="0" fontId="23" fillId="6" borderId="0" applyNumberFormat="0" applyBorder="0" applyAlignment="0" applyProtection="0"/>
    <xf numFmtId="0" fontId="24" fillId="7" borderId="0" applyNumberFormat="0" applyBorder="0" applyAlignment="0" applyProtection="0"/>
    <xf numFmtId="0" fontId="25" fillId="8" borderId="14" applyNumberFormat="0" applyAlignment="0" applyProtection="0"/>
    <xf numFmtId="0" fontId="26" fillId="9" borderId="15" applyNumberFormat="0" applyAlignment="0" applyProtection="0"/>
    <xf numFmtId="0" fontId="27" fillId="9" borderId="14" applyNumberFormat="0" applyAlignment="0" applyProtection="0"/>
    <xf numFmtId="0" fontId="28" fillId="0" borderId="16" applyNumberFormat="0" applyFill="0" applyAlignment="0" applyProtection="0"/>
    <xf numFmtId="0" fontId="29" fillId="10" borderId="17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8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1" borderId="18" applyNumberFormat="0" applyFont="0" applyAlignment="0" applyProtection="0"/>
    <xf numFmtId="0" fontId="2" fillId="2" borderId="0" applyNumberFormat="0" applyBorder="0" applyAlignment="0" applyProtection="0"/>
    <xf numFmtId="0" fontId="19" fillId="0" borderId="0"/>
    <xf numFmtId="0" fontId="33" fillId="0" borderId="0"/>
  </cellStyleXfs>
  <cellXfs count="165">
    <xf numFmtId="0" fontId="0" fillId="0" borderId="0" xfId="0"/>
    <xf numFmtId="164" fontId="0" fillId="0" borderId="0" xfId="1" applyFont="1"/>
    <xf numFmtId="0" fontId="4" fillId="0" borderId="0" xfId="0" applyFont="1"/>
    <xf numFmtId="0" fontId="0" fillId="0" borderId="0" xfId="0" applyFill="1"/>
    <xf numFmtId="0" fontId="15" fillId="0" borderId="0" xfId="2" applyBorder="1"/>
    <xf numFmtId="0" fontId="10" fillId="0" borderId="0" xfId="0" applyFont="1"/>
    <xf numFmtId="164" fontId="10" fillId="0" borderId="0" xfId="1" applyFont="1"/>
    <xf numFmtId="0" fontId="5" fillId="0" borderId="0" xfId="0" applyFont="1" applyAlignment="1">
      <alignment horizontal="center"/>
    </xf>
    <xf numFmtId="164" fontId="5" fillId="0" borderId="0" xfId="1" applyFont="1" applyAlignment="1">
      <alignment horizontal="center"/>
    </xf>
    <xf numFmtId="164" fontId="18" fillId="3" borderId="0" xfId="5" applyNumberFormat="1"/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164" fontId="17" fillId="4" borderId="6" xfId="1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164" fontId="6" fillId="0" borderId="8" xfId="1" applyFont="1" applyBorder="1" applyAlignment="1">
      <alignment horizontal="center" wrapText="1"/>
    </xf>
    <xf numFmtId="164" fontId="4" fillId="0" borderId="8" xfId="1" applyBorder="1" applyAlignment="1">
      <alignment horizontal="center" wrapText="1"/>
    </xf>
    <xf numFmtId="164" fontId="4" fillId="0" borderId="9" xfId="1" applyBorder="1"/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17" fillId="0" borderId="3" xfId="4" applyAlignment="1">
      <alignment horizontal="left"/>
    </xf>
    <xf numFmtId="164" fontId="17" fillId="0" borderId="3" xfId="4" applyNumberFormat="1" applyAlignment="1">
      <alignment horizontal="center" wrapText="1"/>
    </xf>
    <xf numFmtId="164" fontId="17" fillId="0" borderId="3" xfId="4" applyNumberFormat="1"/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164" fontId="4" fillId="0" borderId="11" xfId="1" applyBorder="1" applyAlignment="1">
      <alignment horizontal="center" wrapText="1"/>
    </xf>
    <xf numFmtId="0" fontId="0" fillId="0" borderId="8" xfId="0" applyBorder="1"/>
    <xf numFmtId="164" fontId="0" fillId="0" borderId="8" xfId="1" applyFont="1" applyBorder="1"/>
    <xf numFmtId="164" fontId="0" fillId="0" borderId="9" xfId="1" applyFont="1" applyBorder="1"/>
    <xf numFmtId="0" fontId="0" fillId="0" borderId="10" xfId="0" applyBorder="1"/>
    <xf numFmtId="0" fontId="0" fillId="0" borderId="11" xfId="0" applyBorder="1"/>
    <xf numFmtId="164" fontId="0" fillId="0" borderId="11" xfId="1" applyFont="1" applyBorder="1"/>
    <xf numFmtId="164" fontId="0" fillId="0" borderId="12" xfId="1" applyFont="1" applyBorder="1"/>
    <xf numFmtId="0" fontId="3" fillId="0" borderId="7" xfId="4" applyFont="1" applyBorder="1" applyAlignment="1">
      <alignment horizontal="left"/>
    </xf>
    <xf numFmtId="0" fontId="3" fillId="0" borderId="8" xfId="4" applyFont="1" applyBorder="1" applyAlignment="1">
      <alignment horizontal="left"/>
    </xf>
    <xf numFmtId="164" fontId="3" fillId="0" borderId="8" xfId="4" applyNumberFormat="1" applyFont="1" applyBorder="1" applyAlignment="1">
      <alignment horizontal="center" wrapText="1"/>
    </xf>
    <xf numFmtId="164" fontId="3" fillId="0" borderId="9" xfId="4" applyNumberFormat="1" applyFont="1" applyBorder="1"/>
    <xf numFmtId="164" fontId="4" fillId="0" borderId="0" xfId="1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7" fontId="6" fillId="0" borderId="5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64" fontId="6" fillId="0" borderId="9" xfId="1" applyFont="1" applyBorder="1"/>
    <xf numFmtId="164" fontId="4" fillId="0" borderId="8" xfId="1" applyBorder="1"/>
    <xf numFmtId="164" fontId="6" fillId="0" borderId="12" xfId="1" applyFont="1" applyBorder="1"/>
    <xf numFmtId="164" fontId="6" fillId="0" borderId="8" xfId="1" applyFont="1" applyBorder="1"/>
    <xf numFmtId="0" fontId="17" fillId="0" borderId="3" xfId="4"/>
    <xf numFmtId="164" fontId="4" fillId="0" borderId="8" xfId="1" applyBorder="1" applyAlignment="1">
      <alignment wrapText="1"/>
    </xf>
    <xf numFmtId="164" fontId="4" fillId="0" borderId="8" xfId="1" applyBorder="1" applyAlignment="1"/>
    <xf numFmtId="0" fontId="2" fillId="33" borderId="0" xfId="41" applyFill="1"/>
    <xf numFmtId="0" fontId="1" fillId="33" borderId="0" xfId="41" applyFont="1" applyFill="1"/>
    <xf numFmtId="164" fontId="6" fillId="0" borderId="0" xfId="1" applyFont="1"/>
    <xf numFmtId="0" fontId="6" fillId="0" borderId="19" xfId="0" applyFont="1" applyBorder="1" applyAlignment="1">
      <alignment horizontal="center" vertical="center"/>
    </xf>
    <xf numFmtId="17" fontId="6" fillId="0" borderId="19" xfId="0" applyNumberFormat="1" applyFont="1" applyBorder="1" applyAlignment="1">
      <alignment horizontal="center" vertical="center" wrapText="1"/>
    </xf>
    <xf numFmtId="164" fontId="17" fillId="34" borderId="3" xfId="4" applyNumberFormat="1" applyFill="1" applyAlignment="1">
      <alignment horizontal="center" wrapText="1"/>
    </xf>
    <xf numFmtId="164" fontId="17" fillId="35" borderId="3" xfId="4" applyNumberFormat="1" applyFill="1"/>
    <xf numFmtId="164" fontId="4" fillId="0" borderId="8" xfId="1" applyFont="1" applyBorder="1" applyAlignment="1">
      <alignment horizontal="center" wrapText="1"/>
    </xf>
    <xf numFmtId="164" fontId="6" fillId="33" borderId="0" xfId="1" applyFont="1" applyFill="1"/>
    <xf numFmtId="0" fontId="6" fillId="0" borderId="21" xfId="0" applyFont="1" applyBorder="1" applyAlignment="1">
      <alignment horizontal="center" vertical="center" wrapText="1"/>
    </xf>
    <xf numFmtId="0" fontId="0" fillId="0" borderId="21" xfId="0" applyBorder="1" applyAlignment="1">
      <alignment horizontal="left"/>
    </xf>
    <xf numFmtId="0" fontId="0" fillId="0" borderId="19" xfId="0" applyBorder="1" applyAlignment="1">
      <alignment horizontal="left"/>
    </xf>
    <xf numFmtId="164" fontId="4" fillId="0" borderId="19" xfId="1" applyBorder="1" applyAlignment="1">
      <alignment horizontal="center" wrapText="1"/>
    </xf>
    <xf numFmtId="164" fontId="4" fillId="0" borderId="19" xfId="1" applyBorder="1" applyAlignment="1">
      <alignment wrapText="1"/>
    </xf>
    <xf numFmtId="164" fontId="6" fillId="0" borderId="20" xfId="1" applyFont="1" applyBorder="1"/>
    <xf numFmtId="0" fontId="0" fillId="0" borderId="7" xfId="0" applyBorder="1"/>
    <xf numFmtId="0" fontId="0" fillId="0" borderId="7" xfId="0" applyFill="1" applyBorder="1" applyAlignment="1">
      <alignment horizontal="left"/>
    </xf>
    <xf numFmtId="164" fontId="8" fillId="0" borderId="0" xfId="1" applyFont="1" applyAlignment="1">
      <alignment horizontal="center"/>
    </xf>
    <xf numFmtId="164" fontId="6" fillId="0" borderId="20" xfId="1" applyFont="1" applyBorder="1" applyAlignment="1">
      <alignment horizontal="center" vertical="center" wrapText="1"/>
    </xf>
    <xf numFmtId="164" fontId="4" fillId="0" borderId="9" xfId="1" applyBorder="1"/>
    <xf numFmtId="165" fontId="17" fillId="0" borderId="3" xfId="4" applyNumberFormat="1" applyAlignment="1">
      <alignment horizontal="left" indent="7"/>
    </xf>
    <xf numFmtId="0" fontId="17" fillId="0" borderId="22" xfId="4" applyBorder="1" applyAlignment="1">
      <alignment horizontal="left"/>
    </xf>
    <xf numFmtId="0" fontId="17" fillId="0" borderId="23" xfId="4" applyBorder="1" applyAlignment="1">
      <alignment horizontal="left"/>
    </xf>
    <xf numFmtId="164" fontId="17" fillId="0" borderId="23" xfId="4" applyNumberFormat="1" applyBorder="1" applyAlignment="1">
      <alignment horizontal="center" wrapText="1"/>
    </xf>
    <xf numFmtId="164" fontId="4" fillId="0" borderId="24" xfId="1" applyBorder="1"/>
    <xf numFmtId="0" fontId="0" fillId="0" borderId="0" xfId="0" applyBorder="1" applyAlignment="1">
      <alignment horizontal="left"/>
    </xf>
    <xf numFmtId="2" fontId="4" fillId="0" borderId="9" xfId="1" applyNumberFormat="1" applyBorder="1"/>
    <xf numFmtId="0" fontId="0" fillId="36" borderId="0" xfId="0" applyFill="1"/>
    <xf numFmtId="0" fontId="0" fillId="33" borderId="0" xfId="0" applyFill="1"/>
    <xf numFmtId="164" fontId="32" fillId="0" borderId="3" xfId="4" applyNumberFormat="1" applyFont="1" applyAlignment="1">
      <alignment horizontal="center" wrapText="1"/>
    </xf>
    <xf numFmtId="0" fontId="17" fillId="0" borderId="0" xfId="0" applyFont="1"/>
    <xf numFmtId="0" fontId="17" fillId="0" borderId="26" xfId="0" applyFont="1" applyBorder="1" applyAlignment="1">
      <alignment horizontal="center"/>
    </xf>
    <xf numFmtId="0" fontId="17" fillId="0" borderId="29" xfId="0" applyFont="1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32" xfId="0" applyBorder="1"/>
    <xf numFmtId="0" fontId="0" fillId="0" borderId="28" xfId="0" applyBorder="1" applyAlignment="1">
      <alignment horizontal="center"/>
    </xf>
    <xf numFmtId="0" fontId="0" fillId="0" borderId="31" xfId="0" applyBorder="1" applyAlignment="1">
      <alignment horizontal="center"/>
    </xf>
    <xf numFmtId="0" fontId="35" fillId="0" borderId="0" xfId="0" applyFont="1"/>
    <xf numFmtId="0" fontId="35" fillId="0" borderId="29" xfId="0" applyFont="1" applyBorder="1"/>
    <xf numFmtId="164" fontId="35" fillId="0" borderId="29" xfId="1" applyFont="1" applyBorder="1"/>
    <xf numFmtId="164" fontId="0" fillId="0" borderId="32" xfId="1" applyFont="1" applyBorder="1"/>
    <xf numFmtId="164" fontId="0" fillId="0" borderId="33" xfId="1" applyFont="1" applyBorder="1"/>
    <xf numFmtId="0" fontId="0" fillId="0" borderId="0" xfId="0" applyAlignment="1">
      <alignment horizontal="center"/>
    </xf>
    <xf numFmtId="0" fontId="35" fillId="0" borderId="28" xfId="0" applyFont="1" applyBorder="1" applyAlignment="1">
      <alignment horizontal="center"/>
    </xf>
    <xf numFmtId="0" fontId="35" fillId="0" borderId="29" xfId="0" applyFont="1" applyBorder="1" applyAlignment="1">
      <alignment horizontal="center"/>
    </xf>
    <xf numFmtId="0" fontId="0" fillId="0" borderId="32" xfId="0" applyBorder="1" applyAlignment="1">
      <alignment horizontal="center"/>
    </xf>
    <xf numFmtId="0" fontId="34" fillId="37" borderId="25" xfId="0" applyFont="1" applyFill="1" applyBorder="1" applyAlignment="1">
      <alignment horizontal="center"/>
    </xf>
    <xf numFmtId="0" fontId="34" fillId="37" borderId="26" xfId="0" applyFont="1" applyFill="1" applyBorder="1" applyAlignment="1">
      <alignment horizontal="center"/>
    </xf>
    <xf numFmtId="0" fontId="34" fillId="37" borderId="26" xfId="0" applyFont="1" applyFill="1" applyBorder="1" applyAlignment="1">
      <alignment horizontal="center" wrapText="1"/>
    </xf>
    <xf numFmtId="0" fontId="34" fillId="37" borderId="27" xfId="0" applyFont="1" applyFill="1" applyBorder="1" applyAlignment="1">
      <alignment horizontal="center" wrapText="1"/>
    </xf>
    <xf numFmtId="164" fontId="34" fillId="0" borderId="29" xfId="1" applyFont="1" applyBorder="1" applyAlignment="1">
      <alignment horizontal="center"/>
    </xf>
    <xf numFmtId="164" fontId="34" fillId="0" borderId="29" xfId="1" applyFont="1" applyBorder="1"/>
    <xf numFmtId="9" fontId="35" fillId="0" borderId="0" xfId="0" applyNumberFormat="1" applyFont="1"/>
    <xf numFmtId="164" fontId="0" fillId="0" borderId="29" xfId="1" applyFont="1" applyBorder="1"/>
    <xf numFmtId="164" fontId="0" fillId="0" borderId="30" xfId="1" applyFont="1" applyBorder="1"/>
    <xf numFmtId="0" fontId="0" fillId="0" borderId="8" xfId="0" applyFill="1" applyBorder="1"/>
    <xf numFmtId="0" fontId="0" fillId="0" borderId="8" xfId="0" applyFill="1" applyBorder="1" applyAlignment="1">
      <alignment horizontal="left"/>
    </xf>
    <xf numFmtId="0" fontId="17" fillId="0" borderId="34" xfId="4" applyBorder="1" applyAlignment="1">
      <alignment horizontal="left"/>
    </xf>
    <xf numFmtId="164" fontId="4" fillId="0" borderId="8" xfId="1" applyBorder="1" applyAlignment="1">
      <alignment horizontal="right" wrapText="1"/>
    </xf>
    <xf numFmtId="164" fontId="17" fillId="0" borderId="34" xfId="4" applyNumberFormat="1" applyBorder="1" applyAlignment="1">
      <alignment horizontal="center" wrapText="1"/>
    </xf>
    <xf numFmtId="164" fontId="17" fillId="0" borderId="34" xfId="4" applyNumberFormat="1" applyBorder="1"/>
    <xf numFmtId="0" fontId="0" fillId="0" borderId="35" xfId="0" applyBorder="1" applyAlignment="1">
      <alignment horizontal="left"/>
    </xf>
    <xf numFmtId="164" fontId="4" fillId="0" borderId="35" xfId="1" applyBorder="1" applyAlignment="1">
      <alignment horizontal="center" wrapText="1"/>
    </xf>
    <xf numFmtId="164" fontId="6" fillId="0" borderId="35" xfId="1" applyFont="1" applyBorder="1"/>
    <xf numFmtId="0" fontId="0" fillId="0" borderId="36" xfId="0" applyFill="1" applyBorder="1" applyAlignment="1">
      <alignment horizontal="left"/>
    </xf>
    <xf numFmtId="164" fontId="6" fillId="0" borderId="37" xfId="1" applyFont="1" applyBorder="1" applyAlignment="1">
      <alignment horizontal="center" wrapText="1"/>
    </xf>
    <xf numFmtId="164" fontId="17" fillId="0" borderId="0" xfId="1" applyFont="1"/>
    <xf numFmtId="0" fontId="17" fillId="0" borderId="29" xfId="0" applyFont="1" applyBorder="1"/>
    <xf numFmtId="0" fontId="36" fillId="36" borderId="31" xfId="0" applyFont="1" applyFill="1" applyBorder="1"/>
    <xf numFmtId="0" fontId="36" fillId="36" borderId="32" xfId="0" applyFont="1" applyFill="1" applyBorder="1"/>
    <xf numFmtId="164" fontId="36" fillId="36" borderId="32" xfId="1" applyFont="1" applyFill="1" applyBorder="1"/>
    <xf numFmtId="164" fontId="36" fillId="36" borderId="33" xfId="1" applyFont="1" applyFill="1" applyBorder="1"/>
    <xf numFmtId="164" fontId="35" fillId="0" borderId="30" xfId="1" applyFont="1" applyFill="1" applyBorder="1"/>
    <xf numFmtId="43" fontId="17" fillId="0" borderId="30" xfId="4" applyNumberFormat="1" applyFont="1" applyFill="1" applyBorder="1"/>
    <xf numFmtId="43" fontId="35" fillId="0" borderId="30" xfId="0" applyNumberFormat="1" applyFont="1" applyBorder="1"/>
    <xf numFmtId="0" fontId="17" fillId="0" borderId="25" xfId="0" applyFont="1" applyBorder="1" applyAlignment="1">
      <alignment horizontal="center"/>
    </xf>
    <xf numFmtId="164" fontId="17" fillId="0" borderId="26" xfId="1" applyFont="1" applyBorder="1" applyAlignment="1">
      <alignment horizontal="center"/>
    </xf>
    <xf numFmtId="164" fontId="17" fillId="0" borderId="27" xfId="1" applyFont="1" applyBorder="1" applyAlignment="1">
      <alignment horizontal="center"/>
    </xf>
    <xf numFmtId="0" fontId="17" fillId="0" borderId="28" xfId="0" applyFont="1" applyBorder="1" applyAlignment="1">
      <alignment horizontal="center"/>
    </xf>
    <xf numFmtId="164" fontId="17" fillId="0" borderId="29" xfId="1" applyFont="1" applyBorder="1" applyAlignment="1">
      <alignment horizontal="center"/>
    </xf>
    <xf numFmtId="164" fontId="17" fillId="0" borderId="30" xfId="1" applyFont="1" applyBorder="1" applyAlignment="1">
      <alignment horizontal="center"/>
    </xf>
    <xf numFmtId="3" fontId="0" fillId="0" borderId="29" xfId="0" applyNumberFormat="1" applyBorder="1"/>
    <xf numFmtId="0" fontId="36" fillId="36" borderId="31" xfId="0" applyFont="1" applyFill="1" applyBorder="1" applyAlignment="1">
      <alignment horizontal="center"/>
    </xf>
    <xf numFmtId="3" fontId="36" fillId="36" borderId="32" xfId="0" applyNumberFormat="1" applyFont="1" applyFill="1" applyBorder="1"/>
    <xf numFmtId="0" fontId="17" fillId="0" borderId="27" xfId="0" applyFont="1" applyBorder="1" applyAlignment="1">
      <alignment horizontal="center"/>
    </xf>
    <xf numFmtId="0" fontId="17" fillId="0" borderId="30" xfId="0" applyFont="1" applyBorder="1" applyAlignment="1">
      <alignment horizontal="center"/>
    </xf>
    <xf numFmtId="4" fontId="0" fillId="0" borderId="29" xfId="0" applyNumberFormat="1" applyBorder="1"/>
    <xf numFmtId="0" fontId="0" fillId="0" borderId="30" xfId="0" applyBorder="1"/>
    <xf numFmtId="4" fontId="36" fillId="36" borderId="32" xfId="0" applyNumberFormat="1" applyFont="1" applyFill="1" applyBorder="1"/>
    <xf numFmtId="0" fontId="36" fillId="36" borderId="33" xfId="0" applyFont="1" applyFill="1" applyBorder="1"/>
    <xf numFmtId="43" fontId="0" fillId="36" borderId="0" xfId="0" applyNumberFormat="1" applyFill="1"/>
    <xf numFmtId="164" fontId="0" fillId="36" borderId="0" xfId="1" applyFont="1" applyFill="1"/>
    <xf numFmtId="43" fontId="0" fillId="0" borderId="0" xfId="0" applyNumberFormat="1"/>
    <xf numFmtId="164" fontId="4" fillId="0" borderId="19" xfId="1" applyBorder="1" applyAlignment="1">
      <alignment horizontal="left" wrapText="1"/>
    </xf>
    <xf numFmtId="0" fontId="0" fillId="33" borderId="8" xfId="0" applyFill="1" applyBorder="1"/>
    <xf numFmtId="0" fontId="0" fillId="33" borderId="7" xfId="0" applyFill="1" applyBorder="1" applyAlignment="1">
      <alignment horizontal="left"/>
    </xf>
    <xf numFmtId="164" fontId="4" fillId="33" borderId="8" xfId="1" applyFill="1" applyBorder="1" applyAlignment="1">
      <alignment horizontal="center" wrapText="1"/>
    </xf>
    <xf numFmtId="164" fontId="6" fillId="33" borderId="9" xfId="1" applyFont="1" applyFill="1" applyBorder="1"/>
    <xf numFmtId="0" fontId="0" fillId="0" borderId="38" xfId="0" applyFill="1" applyBorder="1" applyAlignment="1">
      <alignment horizontal="left"/>
    </xf>
    <xf numFmtId="0" fontId="0" fillId="33" borderId="39" xfId="0" applyFill="1" applyBorder="1"/>
    <xf numFmtId="164" fontId="4" fillId="0" borderId="39" xfId="1" applyBorder="1" applyAlignment="1">
      <alignment horizontal="center" wrapText="1"/>
    </xf>
    <xf numFmtId="164" fontId="6" fillId="0" borderId="40" xfId="1" applyFont="1" applyBorder="1"/>
    <xf numFmtId="0" fontId="0" fillId="33" borderId="8" xfId="0" applyFill="1" applyBorder="1" applyAlignment="1">
      <alignment horizontal="left"/>
    </xf>
    <xf numFmtId="164" fontId="0" fillId="34" borderId="0" xfId="1" applyFont="1" applyFill="1"/>
    <xf numFmtId="164" fontId="6" fillId="0" borderId="5" xfId="1" applyFont="1" applyBorder="1" applyAlignment="1">
      <alignment horizontal="center" wrapText="1"/>
    </xf>
    <xf numFmtId="0" fontId="5" fillId="0" borderId="0" xfId="0" applyFont="1" applyAlignment="1">
      <alignment horizontal="center"/>
    </xf>
    <xf numFmtId="164" fontId="37" fillId="0" borderId="8" xfId="1" applyFont="1" applyBorder="1" applyAlignment="1">
      <alignment horizontal="center" wrapText="1"/>
    </xf>
    <xf numFmtId="164" fontId="32" fillId="0" borderId="23" xfId="4" applyNumberFormat="1" applyFont="1" applyBorder="1" applyAlignment="1">
      <alignment horizontal="center" wrapText="1"/>
    </xf>
    <xf numFmtId="164" fontId="38" fillId="0" borderId="8" xfId="1" applyFont="1" applyBorder="1" applyAlignment="1">
      <alignment horizontal="center" wrapText="1"/>
    </xf>
    <xf numFmtId="164" fontId="30" fillId="0" borderId="8" xfId="4" applyNumberFormat="1" applyFont="1" applyBorder="1" applyAlignment="1">
      <alignment horizontal="center" wrapText="1"/>
    </xf>
    <xf numFmtId="164" fontId="37" fillId="0" borderId="8" xfId="1" applyFont="1" applyBorder="1"/>
    <xf numFmtId="164" fontId="32" fillId="0" borderId="3" xfId="4" applyNumberFormat="1" applyFont="1"/>
    <xf numFmtId="164" fontId="37" fillId="0" borderId="11" xfId="1" applyFont="1" applyBorder="1"/>
    <xf numFmtId="164" fontId="37" fillId="0" borderId="0" xfId="1" applyFont="1"/>
  </cellXfs>
  <cellStyles count="47">
    <cellStyle name="20% - Ênfase1" xfId="20" builtinId="30" customBuiltin="1"/>
    <cellStyle name="20% - Ênfase2" xfId="22" builtinId="34" customBuiltin="1"/>
    <cellStyle name="20% - Ênfase3" xfId="26" builtinId="38" customBuiltin="1"/>
    <cellStyle name="20% - Ênfase4" xfId="30" builtinId="42" customBuiltin="1"/>
    <cellStyle name="20% - Ênfase5" xfId="34" builtinId="46" customBuiltin="1"/>
    <cellStyle name="20% - Ênfase6" xfId="38" builtinId="50" customBuiltin="1"/>
    <cellStyle name="40% - Ênfase1 2" xfId="44" xr:uid="{A888BEA0-AEC9-4D75-88DA-9901A2785145}"/>
    <cellStyle name="40% - Ênfase2" xfId="23" builtinId="35" customBuiltin="1"/>
    <cellStyle name="40% - Ênfase3" xfId="27" builtinId="39" customBuiltin="1"/>
    <cellStyle name="40% - Ênfase4" xfId="31" builtinId="43" customBuiltin="1"/>
    <cellStyle name="40% - Ênfase5" xfId="35" builtinId="47" customBuiltin="1"/>
    <cellStyle name="40% - Ênfase6" xfId="39" builtinId="51" customBuiltin="1"/>
    <cellStyle name="60% - Ênfase1" xfId="21" builtinId="32" customBuiltin="1"/>
    <cellStyle name="60% - Ênfase2" xfId="24" builtinId="36" customBuiltin="1"/>
    <cellStyle name="60% - Ênfase3" xfId="28" builtinId="40" customBuiltin="1"/>
    <cellStyle name="60% - Ênfase4" xfId="32" builtinId="44" customBuiltin="1"/>
    <cellStyle name="60% - Ênfase5" xfId="36" builtinId="48" customBuiltin="1"/>
    <cellStyle name="60% - Ênfase6" xfId="40" builtinId="52" customBuiltin="1"/>
    <cellStyle name="Bom" xfId="9" builtinId="26" customBuiltin="1"/>
    <cellStyle name="Cálculo" xfId="14" builtinId="22" customBuiltin="1"/>
    <cellStyle name="Célula de Verificação" xfId="16" builtinId="23" customBuiltin="1"/>
    <cellStyle name="Célula Vinculada" xfId="15" builtinId="24" customBuiltin="1"/>
    <cellStyle name="Ênfase1" xfId="19" builtinId="29" customBuiltin="1"/>
    <cellStyle name="Ênfase2" xfId="5" builtinId="33" customBuiltin="1"/>
    <cellStyle name="Ênfase3" xfId="25" builtinId="37" customBuiltin="1"/>
    <cellStyle name="Ênfase4" xfId="29" builtinId="41" customBuiltin="1"/>
    <cellStyle name="Ênfase5" xfId="33" builtinId="45" customBuiltin="1"/>
    <cellStyle name="Ênfase6" xfId="37" builtinId="49" customBuiltin="1"/>
    <cellStyle name="Entrada" xfId="12" builtinId="20" customBuiltin="1"/>
    <cellStyle name="Neutro" xfId="11" builtinId="28" customBuiltin="1"/>
    <cellStyle name="Normal" xfId="0" builtinId="0"/>
    <cellStyle name="Normal 2" xfId="41" xr:uid="{0F372722-ECC6-4C0D-9675-FE2F58D404A5}"/>
    <cellStyle name="Normal 3" xfId="46" xr:uid="{5870A2AF-9FF3-4771-858E-06E3F7DBBE47}"/>
    <cellStyle name="Normal 4" xfId="45" xr:uid="{3E317571-3340-4FCC-AB8B-72F29409EEAF}"/>
    <cellStyle name="Nota 2" xfId="43" xr:uid="{5496F837-EE86-4D77-A51A-B97FC6CBE3FD}"/>
    <cellStyle name="Ruim" xfId="10" builtinId="27" customBuiltin="1"/>
    <cellStyle name="Saída" xfId="13" builtinId="21" customBuiltin="1"/>
    <cellStyle name="Texto de Aviso" xfId="17" builtinId="11" customBuiltin="1"/>
    <cellStyle name="Texto Explicativo" xfId="18" builtinId="53" customBuiltin="1"/>
    <cellStyle name="Título" xfId="6" builtinId="15" customBuiltin="1"/>
    <cellStyle name="Título 1" xfId="2" builtinId="16" customBuiltin="1"/>
    <cellStyle name="Título 2" xfId="7" builtinId="17" customBuiltin="1"/>
    <cellStyle name="Título 3" xfId="3" builtinId="18" customBuiltin="1"/>
    <cellStyle name="Título 4" xfId="8" builtinId="19" customBuiltin="1"/>
    <cellStyle name="Total" xfId="4" builtinId="25" customBuiltin="1"/>
    <cellStyle name="Vírgula" xfId="1" builtinId="3"/>
    <cellStyle name="Vírgula 2" xfId="42" xr:uid="{096080F9-D6D5-4D46-917C-707CF62E592F}"/>
  </cellStyles>
  <dxfs count="2">
    <dxf>
      <fill>
        <patternFill patternType="solid">
          <fgColor rgb="FFB8CCE4"/>
          <bgColor rgb="FF000000"/>
        </patternFill>
      </fill>
    </dxf>
    <dxf>
      <fill>
        <patternFill patternType="solid">
          <fgColor rgb="FF8DB4E2"/>
          <bgColor rgb="FF000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vanildo Nascimento Silva" id="{E38731BE-FACB-4767-9A9A-53B15FCD78C6}" userId="S::evanildo.silva@cscalfa.com.br::36255dc5-e107-454e-ac34-d807150fb04a" providerId="AD"/>
  <person displayName="Jacqueline Medeiros Jaquetta" id="{443E0915-28D5-4243-B78B-0E5D03C71CD1}" userId="S::Jacqueline.Jaquetta@cscalfa.com.br::ca38b2e6-9585-4614-b713-10ab34307e23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6" dT="2021-01-18T02:13:05.00" personId="{E38731BE-FACB-4767-9A9A-53B15FCD78C6}" id="{60349F73-28B2-4BED-9EDB-874B190605F2}">
    <text>Vlr tranf. proj. 125520  para Software 145310</text>
  </threadedComment>
  <threadedComment ref="F43" dT="2019-05-14T19:47:54.96" personId="{E38731BE-FACB-4767-9A9A-53B15FCD78C6}" id="{073B4DBE-F8C3-43F8-A980-4CDCB53AABA9}">
    <text>Vlr estornado contra despesa depreciação devido lançamento duplicidade</text>
  </threadedComment>
  <threadedComment ref="F50" dT="2019-05-14T19:49:20.33" personId="{E38731BE-FACB-4767-9A9A-53B15FCD78C6}" id="{551436CF-D572-4DCE-A811-AC9740F241E1}">
    <text>Vlr estornado contra despesa depreciação devido lançamento duplicidade</text>
  </threadedComment>
  <threadedComment ref="F87" dT="2020-09-23T19:51:19.59" personId="{E38731BE-FACB-4767-9A9A-53B15FCD78C6}" id="{46E39E0C-2E77-4EFE-B7E9-48BA0C86C6C4}">
    <text>Vlr. ref. participação das empresas, baixa pelo recebto.</text>
  </threadedComment>
  <threadedComment ref="F137" dT="2019-05-14T19:49:42.23" personId="{E38731BE-FACB-4767-9A9A-53B15FCD78C6}" id="{42516126-E1B1-4A52-B722-6A16D09FF088}">
    <text>Vlr estornado contra despesa depreciação devido lançamento duplicidade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11" dT="2019-07-08T15:02:04.06" personId="{443E0915-28D5-4243-B78B-0E5D03C71CD1}" id="{CCF27156-8C38-4FD9-BC7D-CF859D4B8691}">
    <text>Valor de R$ 599,70 entrou e saiu na movimentação, por este motivo foi deduzido nesta célula.</text>
  </threadedComment>
  <threadedComment ref="I11" dT="2019-07-08T15:02:04.06" personId="{443E0915-28D5-4243-B78B-0E5D03C71CD1}" id="{ACEAFD6A-CF6C-4D5A-B3B0-C4F14F890FE4}">
    <text>Valor de R$ 599,70 entrou e saiu na movimentação, por este motivo foi deduzido nesta célula.</text>
  </threadedComment>
  <threadedComment ref="I17" dT="2019-07-08T15:02:04.06" personId="{443E0915-28D5-4243-B78B-0E5D03C71CD1}" id="{4DFD422B-3642-43A7-86F1-F4AC4662CCEA}">
    <text>Valor de R$ 599,70 entrou e saiu na movimentação, por este motivo foi deduzido nesta célula.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M53" dT="2021-01-16T23:43:41.11" personId="{E38731BE-FACB-4767-9A9A-53B15FCD78C6}" id="{8DA9EFB0-92BA-4821-8279-AAF4DB5B3C86}">
    <text>A baixa foi efetuada antes da transf. do projeto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B2:L145"/>
  <sheetViews>
    <sheetView showGridLines="0" tabSelected="1" zoomScale="80" zoomScaleNormal="80" workbookViewId="0">
      <pane ySplit="4" topLeftCell="A5" activePane="bottomLeft" state="frozen"/>
      <selection activeCell="E48" sqref="E48"/>
      <selection pane="bottomLeft" activeCell="L16" sqref="L16"/>
    </sheetView>
  </sheetViews>
  <sheetFormatPr defaultRowHeight="12.75" x14ac:dyDescent="0.2"/>
  <cols>
    <col min="2" max="2" width="11.5703125" bestFit="1" customWidth="1"/>
    <col min="3" max="3" width="52.7109375" customWidth="1"/>
    <col min="4" max="4" width="15.7109375" style="1" customWidth="1"/>
    <col min="5" max="5" width="15" style="1" customWidth="1"/>
    <col min="6" max="6" width="14.5703125" style="1" customWidth="1"/>
    <col min="7" max="7" width="17" style="1" bestFit="1" customWidth="1"/>
    <col min="8" max="8" width="14.7109375" style="1" customWidth="1"/>
    <col min="9" max="9" width="14" style="1" customWidth="1"/>
    <col min="10" max="10" width="16.42578125" style="1" customWidth="1"/>
    <col min="11" max="11" width="18.7109375" style="1" customWidth="1"/>
    <col min="12" max="12" width="16.28515625" style="1" customWidth="1"/>
    <col min="258" max="258" width="11.5703125" bestFit="1" customWidth="1"/>
    <col min="259" max="259" width="52" bestFit="1" customWidth="1"/>
    <col min="260" max="260" width="15.7109375" customWidth="1"/>
    <col min="261" max="261" width="15" customWidth="1"/>
    <col min="262" max="262" width="14.140625" customWidth="1"/>
    <col min="263" max="263" width="13.28515625" customWidth="1"/>
    <col min="264" max="264" width="14.7109375" customWidth="1"/>
    <col min="265" max="265" width="14" customWidth="1"/>
    <col min="266" max="266" width="16.42578125" customWidth="1"/>
    <col min="267" max="267" width="14.85546875" bestFit="1" customWidth="1"/>
    <col min="268" max="268" width="16.28515625" customWidth="1"/>
    <col min="514" max="514" width="11.5703125" bestFit="1" customWidth="1"/>
    <col min="515" max="515" width="52" bestFit="1" customWidth="1"/>
    <col min="516" max="516" width="15.7109375" customWidth="1"/>
    <col min="517" max="517" width="15" customWidth="1"/>
    <col min="518" max="518" width="14.140625" customWidth="1"/>
    <col min="519" max="519" width="13.28515625" customWidth="1"/>
    <col min="520" max="520" width="14.7109375" customWidth="1"/>
    <col min="521" max="521" width="14" customWidth="1"/>
    <col min="522" max="522" width="16.42578125" customWidth="1"/>
    <col min="523" max="523" width="14.85546875" bestFit="1" customWidth="1"/>
    <col min="524" max="524" width="16.28515625" customWidth="1"/>
    <col min="770" max="770" width="11.5703125" bestFit="1" customWidth="1"/>
    <col min="771" max="771" width="52" bestFit="1" customWidth="1"/>
    <col min="772" max="772" width="15.7109375" customWidth="1"/>
    <col min="773" max="773" width="15" customWidth="1"/>
    <col min="774" max="774" width="14.140625" customWidth="1"/>
    <col min="775" max="775" width="13.28515625" customWidth="1"/>
    <col min="776" max="776" width="14.7109375" customWidth="1"/>
    <col min="777" max="777" width="14" customWidth="1"/>
    <col min="778" max="778" width="16.42578125" customWidth="1"/>
    <col min="779" max="779" width="14.85546875" bestFit="1" customWidth="1"/>
    <col min="780" max="780" width="16.28515625" customWidth="1"/>
    <col min="1026" max="1026" width="11.5703125" bestFit="1" customWidth="1"/>
    <col min="1027" max="1027" width="52" bestFit="1" customWidth="1"/>
    <col min="1028" max="1028" width="15.7109375" customWidth="1"/>
    <col min="1029" max="1029" width="15" customWidth="1"/>
    <col min="1030" max="1030" width="14.140625" customWidth="1"/>
    <col min="1031" max="1031" width="13.28515625" customWidth="1"/>
    <col min="1032" max="1032" width="14.7109375" customWidth="1"/>
    <col min="1033" max="1033" width="14" customWidth="1"/>
    <col min="1034" max="1034" width="16.42578125" customWidth="1"/>
    <col min="1035" max="1035" width="14.85546875" bestFit="1" customWidth="1"/>
    <col min="1036" max="1036" width="16.28515625" customWidth="1"/>
    <col min="1282" max="1282" width="11.5703125" bestFit="1" customWidth="1"/>
    <col min="1283" max="1283" width="52" bestFit="1" customWidth="1"/>
    <col min="1284" max="1284" width="15.7109375" customWidth="1"/>
    <col min="1285" max="1285" width="15" customWidth="1"/>
    <col min="1286" max="1286" width="14.140625" customWidth="1"/>
    <col min="1287" max="1287" width="13.28515625" customWidth="1"/>
    <col min="1288" max="1288" width="14.7109375" customWidth="1"/>
    <col min="1289" max="1289" width="14" customWidth="1"/>
    <col min="1290" max="1290" width="16.42578125" customWidth="1"/>
    <col min="1291" max="1291" width="14.85546875" bestFit="1" customWidth="1"/>
    <col min="1292" max="1292" width="16.28515625" customWidth="1"/>
    <col min="1538" max="1538" width="11.5703125" bestFit="1" customWidth="1"/>
    <col min="1539" max="1539" width="52" bestFit="1" customWidth="1"/>
    <col min="1540" max="1540" width="15.7109375" customWidth="1"/>
    <col min="1541" max="1541" width="15" customWidth="1"/>
    <col min="1542" max="1542" width="14.140625" customWidth="1"/>
    <col min="1543" max="1543" width="13.28515625" customWidth="1"/>
    <col min="1544" max="1544" width="14.7109375" customWidth="1"/>
    <col min="1545" max="1545" width="14" customWidth="1"/>
    <col min="1546" max="1546" width="16.42578125" customWidth="1"/>
    <col min="1547" max="1547" width="14.85546875" bestFit="1" customWidth="1"/>
    <col min="1548" max="1548" width="16.28515625" customWidth="1"/>
    <col min="1794" max="1794" width="11.5703125" bestFit="1" customWidth="1"/>
    <col min="1795" max="1795" width="52" bestFit="1" customWidth="1"/>
    <col min="1796" max="1796" width="15.7109375" customWidth="1"/>
    <col min="1797" max="1797" width="15" customWidth="1"/>
    <col min="1798" max="1798" width="14.140625" customWidth="1"/>
    <col min="1799" max="1799" width="13.28515625" customWidth="1"/>
    <col min="1800" max="1800" width="14.7109375" customWidth="1"/>
    <col min="1801" max="1801" width="14" customWidth="1"/>
    <col min="1802" max="1802" width="16.42578125" customWidth="1"/>
    <col min="1803" max="1803" width="14.85546875" bestFit="1" customWidth="1"/>
    <col min="1804" max="1804" width="16.28515625" customWidth="1"/>
    <col min="2050" max="2050" width="11.5703125" bestFit="1" customWidth="1"/>
    <col min="2051" max="2051" width="52" bestFit="1" customWidth="1"/>
    <col min="2052" max="2052" width="15.7109375" customWidth="1"/>
    <col min="2053" max="2053" width="15" customWidth="1"/>
    <col min="2054" max="2054" width="14.140625" customWidth="1"/>
    <col min="2055" max="2055" width="13.28515625" customWidth="1"/>
    <col min="2056" max="2056" width="14.7109375" customWidth="1"/>
    <col min="2057" max="2057" width="14" customWidth="1"/>
    <col min="2058" max="2058" width="16.42578125" customWidth="1"/>
    <col min="2059" max="2059" width="14.85546875" bestFit="1" customWidth="1"/>
    <col min="2060" max="2060" width="16.28515625" customWidth="1"/>
    <col min="2306" max="2306" width="11.5703125" bestFit="1" customWidth="1"/>
    <col min="2307" max="2307" width="52" bestFit="1" customWidth="1"/>
    <col min="2308" max="2308" width="15.7109375" customWidth="1"/>
    <col min="2309" max="2309" width="15" customWidth="1"/>
    <col min="2310" max="2310" width="14.140625" customWidth="1"/>
    <col min="2311" max="2311" width="13.28515625" customWidth="1"/>
    <col min="2312" max="2312" width="14.7109375" customWidth="1"/>
    <col min="2313" max="2313" width="14" customWidth="1"/>
    <col min="2314" max="2314" width="16.42578125" customWidth="1"/>
    <col min="2315" max="2315" width="14.85546875" bestFit="1" customWidth="1"/>
    <col min="2316" max="2316" width="16.28515625" customWidth="1"/>
    <col min="2562" max="2562" width="11.5703125" bestFit="1" customWidth="1"/>
    <col min="2563" max="2563" width="52" bestFit="1" customWidth="1"/>
    <col min="2564" max="2564" width="15.7109375" customWidth="1"/>
    <col min="2565" max="2565" width="15" customWidth="1"/>
    <col min="2566" max="2566" width="14.140625" customWidth="1"/>
    <col min="2567" max="2567" width="13.28515625" customWidth="1"/>
    <col min="2568" max="2568" width="14.7109375" customWidth="1"/>
    <col min="2569" max="2569" width="14" customWidth="1"/>
    <col min="2570" max="2570" width="16.42578125" customWidth="1"/>
    <col min="2571" max="2571" width="14.85546875" bestFit="1" customWidth="1"/>
    <col min="2572" max="2572" width="16.28515625" customWidth="1"/>
    <col min="2818" max="2818" width="11.5703125" bestFit="1" customWidth="1"/>
    <col min="2819" max="2819" width="52" bestFit="1" customWidth="1"/>
    <col min="2820" max="2820" width="15.7109375" customWidth="1"/>
    <col min="2821" max="2821" width="15" customWidth="1"/>
    <col min="2822" max="2822" width="14.140625" customWidth="1"/>
    <col min="2823" max="2823" width="13.28515625" customWidth="1"/>
    <col min="2824" max="2824" width="14.7109375" customWidth="1"/>
    <col min="2825" max="2825" width="14" customWidth="1"/>
    <col min="2826" max="2826" width="16.42578125" customWidth="1"/>
    <col min="2827" max="2827" width="14.85546875" bestFit="1" customWidth="1"/>
    <col min="2828" max="2828" width="16.28515625" customWidth="1"/>
    <col min="3074" max="3074" width="11.5703125" bestFit="1" customWidth="1"/>
    <col min="3075" max="3075" width="52" bestFit="1" customWidth="1"/>
    <col min="3076" max="3076" width="15.7109375" customWidth="1"/>
    <col min="3077" max="3077" width="15" customWidth="1"/>
    <col min="3078" max="3078" width="14.140625" customWidth="1"/>
    <col min="3079" max="3079" width="13.28515625" customWidth="1"/>
    <col min="3080" max="3080" width="14.7109375" customWidth="1"/>
    <col min="3081" max="3081" width="14" customWidth="1"/>
    <col min="3082" max="3082" width="16.42578125" customWidth="1"/>
    <col min="3083" max="3083" width="14.85546875" bestFit="1" customWidth="1"/>
    <col min="3084" max="3084" width="16.28515625" customWidth="1"/>
    <col min="3330" max="3330" width="11.5703125" bestFit="1" customWidth="1"/>
    <col min="3331" max="3331" width="52" bestFit="1" customWidth="1"/>
    <col min="3332" max="3332" width="15.7109375" customWidth="1"/>
    <col min="3333" max="3333" width="15" customWidth="1"/>
    <col min="3334" max="3334" width="14.140625" customWidth="1"/>
    <col min="3335" max="3335" width="13.28515625" customWidth="1"/>
    <col min="3336" max="3336" width="14.7109375" customWidth="1"/>
    <col min="3337" max="3337" width="14" customWidth="1"/>
    <col min="3338" max="3338" width="16.42578125" customWidth="1"/>
    <col min="3339" max="3339" width="14.85546875" bestFit="1" customWidth="1"/>
    <col min="3340" max="3340" width="16.28515625" customWidth="1"/>
    <col min="3586" max="3586" width="11.5703125" bestFit="1" customWidth="1"/>
    <col min="3587" max="3587" width="52" bestFit="1" customWidth="1"/>
    <col min="3588" max="3588" width="15.7109375" customWidth="1"/>
    <col min="3589" max="3589" width="15" customWidth="1"/>
    <col min="3590" max="3590" width="14.140625" customWidth="1"/>
    <col min="3591" max="3591" width="13.28515625" customWidth="1"/>
    <col min="3592" max="3592" width="14.7109375" customWidth="1"/>
    <col min="3593" max="3593" width="14" customWidth="1"/>
    <col min="3594" max="3594" width="16.42578125" customWidth="1"/>
    <col min="3595" max="3595" width="14.85546875" bestFit="1" customWidth="1"/>
    <col min="3596" max="3596" width="16.28515625" customWidth="1"/>
    <col min="3842" max="3842" width="11.5703125" bestFit="1" customWidth="1"/>
    <col min="3843" max="3843" width="52" bestFit="1" customWidth="1"/>
    <col min="3844" max="3844" width="15.7109375" customWidth="1"/>
    <col min="3845" max="3845" width="15" customWidth="1"/>
    <col min="3846" max="3846" width="14.140625" customWidth="1"/>
    <col min="3847" max="3847" width="13.28515625" customWidth="1"/>
    <col min="3848" max="3848" width="14.7109375" customWidth="1"/>
    <col min="3849" max="3849" width="14" customWidth="1"/>
    <col min="3850" max="3850" width="16.42578125" customWidth="1"/>
    <col min="3851" max="3851" width="14.85546875" bestFit="1" customWidth="1"/>
    <col min="3852" max="3852" width="16.28515625" customWidth="1"/>
    <col min="4098" max="4098" width="11.5703125" bestFit="1" customWidth="1"/>
    <col min="4099" max="4099" width="52" bestFit="1" customWidth="1"/>
    <col min="4100" max="4100" width="15.7109375" customWidth="1"/>
    <col min="4101" max="4101" width="15" customWidth="1"/>
    <col min="4102" max="4102" width="14.140625" customWidth="1"/>
    <col min="4103" max="4103" width="13.28515625" customWidth="1"/>
    <col min="4104" max="4104" width="14.7109375" customWidth="1"/>
    <col min="4105" max="4105" width="14" customWidth="1"/>
    <col min="4106" max="4106" width="16.42578125" customWidth="1"/>
    <col min="4107" max="4107" width="14.85546875" bestFit="1" customWidth="1"/>
    <col min="4108" max="4108" width="16.28515625" customWidth="1"/>
    <col min="4354" max="4354" width="11.5703125" bestFit="1" customWidth="1"/>
    <col min="4355" max="4355" width="52" bestFit="1" customWidth="1"/>
    <col min="4356" max="4356" width="15.7109375" customWidth="1"/>
    <col min="4357" max="4357" width="15" customWidth="1"/>
    <col min="4358" max="4358" width="14.140625" customWidth="1"/>
    <col min="4359" max="4359" width="13.28515625" customWidth="1"/>
    <col min="4360" max="4360" width="14.7109375" customWidth="1"/>
    <col min="4361" max="4361" width="14" customWidth="1"/>
    <col min="4362" max="4362" width="16.42578125" customWidth="1"/>
    <col min="4363" max="4363" width="14.85546875" bestFit="1" customWidth="1"/>
    <col min="4364" max="4364" width="16.28515625" customWidth="1"/>
    <col min="4610" max="4610" width="11.5703125" bestFit="1" customWidth="1"/>
    <col min="4611" max="4611" width="52" bestFit="1" customWidth="1"/>
    <col min="4612" max="4612" width="15.7109375" customWidth="1"/>
    <col min="4613" max="4613" width="15" customWidth="1"/>
    <col min="4614" max="4614" width="14.140625" customWidth="1"/>
    <col min="4615" max="4615" width="13.28515625" customWidth="1"/>
    <col min="4616" max="4616" width="14.7109375" customWidth="1"/>
    <col min="4617" max="4617" width="14" customWidth="1"/>
    <col min="4618" max="4618" width="16.42578125" customWidth="1"/>
    <col min="4619" max="4619" width="14.85546875" bestFit="1" customWidth="1"/>
    <col min="4620" max="4620" width="16.28515625" customWidth="1"/>
    <col min="4866" max="4866" width="11.5703125" bestFit="1" customWidth="1"/>
    <col min="4867" max="4867" width="52" bestFit="1" customWidth="1"/>
    <col min="4868" max="4868" width="15.7109375" customWidth="1"/>
    <col min="4869" max="4869" width="15" customWidth="1"/>
    <col min="4870" max="4870" width="14.140625" customWidth="1"/>
    <col min="4871" max="4871" width="13.28515625" customWidth="1"/>
    <col min="4872" max="4872" width="14.7109375" customWidth="1"/>
    <col min="4873" max="4873" width="14" customWidth="1"/>
    <col min="4874" max="4874" width="16.42578125" customWidth="1"/>
    <col min="4875" max="4875" width="14.85546875" bestFit="1" customWidth="1"/>
    <col min="4876" max="4876" width="16.28515625" customWidth="1"/>
    <col min="5122" max="5122" width="11.5703125" bestFit="1" customWidth="1"/>
    <col min="5123" max="5123" width="52" bestFit="1" customWidth="1"/>
    <col min="5124" max="5124" width="15.7109375" customWidth="1"/>
    <col min="5125" max="5125" width="15" customWidth="1"/>
    <col min="5126" max="5126" width="14.140625" customWidth="1"/>
    <col min="5127" max="5127" width="13.28515625" customWidth="1"/>
    <col min="5128" max="5128" width="14.7109375" customWidth="1"/>
    <col min="5129" max="5129" width="14" customWidth="1"/>
    <col min="5130" max="5130" width="16.42578125" customWidth="1"/>
    <col min="5131" max="5131" width="14.85546875" bestFit="1" customWidth="1"/>
    <col min="5132" max="5132" width="16.28515625" customWidth="1"/>
    <col min="5378" max="5378" width="11.5703125" bestFit="1" customWidth="1"/>
    <col min="5379" max="5379" width="52" bestFit="1" customWidth="1"/>
    <col min="5380" max="5380" width="15.7109375" customWidth="1"/>
    <col min="5381" max="5381" width="15" customWidth="1"/>
    <col min="5382" max="5382" width="14.140625" customWidth="1"/>
    <col min="5383" max="5383" width="13.28515625" customWidth="1"/>
    <col min="5384" max="5384" width="14.7109375" customWidth="1"/>
    <col min="5385" max="5385" width="14" customWidth="1"/>
    <col min="5386" max="5386" width="16.42578125" customWidth="1"/>
    <col min="5387" max="5387" width="14.85546875" bestFit="1" customWidth="1"/>
    <col min="5388" max="5388" width="16.28515625" customWidth="1"/>
    <col min="5634" max="5634" width="11.5703125" bestFit="1" customWidth="1"/>
    <col min="5635" max="5635" width="52" bestFit="1" customWidth="1"/>
    <col min="5636" max="5636" width="15.7109375" customWidth="1"/>
    <col min="5637" max="5637" width="15" customWidth="1"/>
    <col min="5638" max="5638" width="14.140625" customWidth="1"/>
    <col min="5639" max="5639" width="13.28515625" customWidth="1"/>
    <col min="5640" max="5640" width="14.7109375" customWidth="1"/>
    <col min="5641" max="5641" width="14" customWidth="1"/>
    <col min="5642" max="5642" width="16.42578125" customWidth="1"/>
    <col min="5643" max="5643" width="14.85546875" bestFit="1" customWidth="1"/>
    <col min="5644" max="5644" width="16.28515625" customWidth="1"/>
    <col min="5890" max="5890" width="11.5703125" bestFit="1" customWidth="1"/>
    <col min="5891" max="5891" width="52" bestFit="1" customWidth="1"/>
    <col min="5892" max="5892" width="15.7109375" customWidth="1"/>
    <col min="5893" max="5893" width="15" customWidth="1"/>
    <col min="5894" max="5894" width="14.140625" customWidth="1"/>
    <col min="5895" max="5895" width="13.28515625" customWidth="1"/>
    <col min="5896" max="5896" width="14.7109375" customWidth="1"/>
    <col min="5897" max="5897" width="14" customWidth="1"/>
    <col min="5898" max="5898" width="16.42578125" customWidth="1"/>
    <col min="5899" max="5899" width="14.85546875" bestFit="1" customWidth="1"/>
    <col min="5900" max="5900" width="16.28515625" customWidth="1"/>
    <col min="6146" max="6146" width="11.5703125" bestFit="1" customWidth="1"/>
    <col min="6147" max="6147" width="52" bestFit="1" customWidth="1"/>
    <col min="6148" max="6148" width="15.7109375" customWidth="1"/>
    <col min="6149" max="6149" width="15" customWidth="1"/>
    <col min="6150" max="6150" width="14.140625" customWidth="1"/>
    <col min="6151" max="6151" width="13.28515625" customWidth="1"/>
    <col min="6152" max="6152" width="14.7109375" customWidth="1"/>
    <col min="6153" max="6153" width="14" customWidth="1"/>
    <col min="6154" max="6154" width="16.42578125" customWidth="1"/>
    <col min="6155" max="6155" width="14.85546875" bestFit="1" customWidth="1"/>
    <col min="6156" max="6156" width="16.28515625" customWidth="1"/>
    <col min="6402" max="6402" width="11.5703125" bestFit="1" customWidth="1"/>
    <col min="6403" max="6403" width="52" bestFit="1" customWidth="1"/>
    <col min="6404" max="6404" width="15.7109375" customWidth="1"/>
    <col min="6405" max="6405" width="15" customWidth="1"/>
    <col min="6406" max="6406" width="14.140625" customWidth="1"/>
    <col min="6407" max="6407" width="13.28515625" customWidth="1"/>
    <col min="6408" max="6408" width="14.7109375" customWidth="1"/>
    <col min="6409" max="6409" width="14" customWidth="1"/>
    <col min="6410" max="6410" width="16.42578125" customWidth="1"/>
    <col min="6411" max="6411" width="14.85546875" bestFit="1" customWidth="1"/>
    <col min="6412" max="6412" width="16.28515625" customWidth="1"/>
    <col min="6658" max="6658" width="11.5703125" bestFit="1" customWidth="1"/>
    <col min="6659" max="6659" width="52" bestFit="1" customWidth="1"/>
    <col min="6660" max="6660" width="15.7109375" customWidth="1"/>
    <col min="6661" max="6661" width="15" customWidth="1"/>
    <col min="6662" max="6662" width="14.140625" customWidth="1"/>
    <col min="6663" max="6663" width="13.28515625" customWidth="1"/>
    <col min="6664" max="6664" width="14.7109375" customWidth="1"/>
    <col min="6665" max="6665" width="14" customWidth="1"/>
    <col min="6666" max="6666" width="16.42578125" customWidth="1"/>
    <col min="6667" max="6667" width="14.85546875" bestFit="1" customWidth="1"/>
    <col min="6668" max="6668" width="16.28515625" customWidth="1"/>
    <col min="6914" max="6914" width="11.5703125" bestFit="1" customWidth="1"/>
    <col min="6915" max="6915" width="52" bestFit="1" customWidth="1"/>
    <col min="6916" max="6916" width="15.7109375" customWidth="1"/>
    <col min="6917" max="6917" width="15" customWidth="1"/>
    <col min="6918" max="6918" width="14.140625" customWidth="1"/>
    <col min="6919" max="6919" width="13.28515625" customWidth="1"/>
    <col min="6920" max="6920" width="14.7109375" customWidth="1"/>
    <col min="6921" max="6921" width="14" customWidth="1"/>
    <col min="6922" max="6922" width="16.42578125" customWidth="1"/>
    <col min="6923" max="6923" width="14.85546875" bestFit="1" customWidth="1"/>
    <col min="6924" max="6924" width="16.28515625" customWidth="1"/>
    <col min="7170" max="7170" width="11.5703125" bestFit="1" customWidth="1"/>
    <col min="7171" max="7171" width="52" bestFit="1" customWidth="1"/>
    <col min="7172" max="7172" width="15.7109375" customWidth="1"/>
    <col min="7173" max="7173" width="15" customWidth="1"/>
    <col min="7174" max="7174" width="14.140625" customWidth="1"/>
    <col min="7175" max="7175" width="13.28515625" customWidth="1"/>
    <col min="7176" max="7176" width="14.7109375" customWidth="1"/>
    <col min="7177" max="7177" width="14" customWidth="1"/>
    <col min="7178" max="7178" width="16.42578125" customWidth="1"/>
    <col min="7179" max="7179" width="14.85546875" bestFit="1" customWidth="1"/>
    <col min="7180" max="7180" width="16.28515625" customWidth="1"/>
    <col min="7426" max="7426" width="11.5703125" bestFit="1" customWidth="1"/>
    <col min="7427" max="7427" width="52" bestFit="1" customWidth="1"/>
    <col min="7428" max="7428" width="15.7109375" customWidth="1"/>
    <col min="7429" max="7429" width="15" customWidth="1"/>
    <col min="7430" max="7430" width="14.140625" customWidth="1"/>
    <col min="7431" max="7431" width="13.28515625" customWidth="1"/>
    <col min="7432" max="7432" width="14.7109375" customWidth="1"/>
    <col min="7433" max="7433" width="14" customWidth="1"/>
    <col min="7434" max="7434" width="16.42578125" customWidth="1"/>
    <col min="7435" max="7435" width="14.85546875" bestFit="1" customWidth="1"/>
    <col min="7436" max="7436" width="16.28515625" customWidth="1"/>
    <col min="7682" max="7682" width="11.5703125" bestFit="1" customWidth="1"/>
    <col min="7683" max="7683" width="52" bestFit="1" customWidth="1"/>
    <col min="7684" max="7684" width="15.7109375" customWidth="1"/>
    <col min="7685" max="7685" width="15" customWidth="1"/>
    <col min="7686" max="7686" width="14.140625" customWidth="1"/>
    <col min="7687" max="7687" width="13.28515625" customWidth="1"/>
    <col min="7688" max="7688" width="14.7109375" customWidth="1"/>
    <col min="7689" max="7689" width="14" customWidth="1"/>
    <col min="7690" max="7690" width="16.42578125" customWidth="1"/>
    <col min="7691" max="7691" width="14.85546875" bestFit="1" customWidth="1"/>
    <col min="7692" max="7692" width="16.28515625" customWidth="1"/>
    <col min="7938" max="7938" width="11.5703125" bestFit="1" customWidth="1"/>
    <col min="7939" max="7939" width="52" bestFit="1" customWidth="1"/>
    <col min="7940" max="7940" width="15.7109375" customWidth="1"/>
    <col min="7941" max="7941" width="15" customWidth="1"/>
    <col min="7942" max="7942" width="14.140625" customWidth="1"/>
    <col min="7943" max="7943" width="13.28515625" customWidth="1"/>
    <col min="7944" max="7944" width="14.7109375" customWidth="1"/>
    <col min="7945" max="7945" width="14" customWidth="1"/>
    <col min="7946" max="7946" width="16.42578125" customWidth="1"/>
    <col min="7947" max="7947" width="14.85546875" bestFit="1" customWidth="1"/>
    <col min="7948" max="7948" width="16.28515625" customWidth="1"/>
    <col min="8194" max="8194" width="11.5703125" bestFit="1" customWidth="1"/>
    <col min="8195" max="8195" width="52" bestFit="1" customWidth="1"/>
    <col min="8196" max="8196" width="15.7109375" customWidth="1"/>
    <col min="8197" max="8197" width="15" customWidth="1"/>
    <col min="8198" max="8198" width="14.140625" customWidth="1"/>
    <col min="8199" max="8199" width="13.28515625" customWidth="1"/>
    <col min="8200" max="8200" width="14.7109375" customWidth="1"/>
    <col min="8201" max="8201" width="14" customWidth="1"/>
    <col min="8202" max="8202" width="16.42578125" customWidth="1"/>
    <col min="8203" max="8203" width="14.85546875" bestFit="1" customWidth="1"/>
    <col min="8204" max="8204" width="16.28515625" customWidth="1"/>
    <col min="8450" max="8450" width="11.5703125" bestFit="1" customWidth="1"/>
    <col min="8451" max="8451" width="52" bestFit="1" customWidth="1"/>
    <col min="8452" max="8452" width="15.7109375" customWidth="1"/>
    <col min="8453" max="8453" width="15" customWidth="1"/>
    <col min="8454" max="8454" width="14.140625" customWidth="1"/>
    <col min="8455" max="8455" width="13.28515625" customWidth="1"/>
    <col min="8456" max="8456" width="14.7109375" customWidth="1"/>
    <col min="8457" max="8457" width="14" customWidth="1"/>
    <col min="8458" max="8458" width="16.42578125" customWidth="1"/>
    <col min="8459" max="8459" width="14.85546875" bestFit="1" customWidth="1"/>
    <col min="8460" max="8460" width="16.28515625" customWidth="1"/>
    <col min="8706" max="8706" width="11.5703125" bestFit="1" customWidth="1"/>
    <col min="8707" max="8707" width="52" bestFit="1" customWidth="1"/>
    <col min="8708" max="8708" width="15.7109375" customWidth="1"/>
    <col min="8709" max="8709" width="15" customWidth="1"/>
    <col min="8710" max="8710" width="14.140625" customWidth="1"/>
    <col min="8711" max="8711" width="13.28515625" customWidth="1"/>
    <col min="8712" max="8712" width="14.7109375" customWidth="1"/>
    <col min="8713" max="8713" width="14" customWidth="1"/>
    <col min="8714" max="8714" width="16.42578125" customWidth="1"/>
    <col min="8715" max="8715" width="14.85546875" bestFit="1" customWidth="1"/>
    <col min="8716" max="8716" width="16.28515625" customWidth="1"/>
    <col min="8962" max="8962" width="11.5703125" bestFit="1" customWidth="1"/>
    <col min="8963" max="8963" width="52" bestFit="1" customWidth="1"/>
    <col min="8964" max="8964" width="15.7109375" customWidth="1"/>
    <col min="8965" max="8965" width="15" customWidth="1"/>
    <col min="8966" max="8966" width="14.140625" customWidth="1"/>
    <col min="8967" max="8967" width="13.28515625" customWidth="1"/>
    <col min="8968" max="8968" width="14.7109375" customWidth="1"/>
    <col min="8969" max="8969" width="14" customWidth="1"/>
    <col min="8970" max="8970" width="16.42578125" customWidth="1"/>
    <col min="8971" max="8971" width="14.85546875" bestFit="1" customWidth="1"/>
    <col min="8972" max="8972" width="16.28515625" customWidth="1"/>
    <col min="9218" max="9218" width="11.5703125" bestFit="1" customWidth="1"/>
    <col min="9219" max="9219" width="52" bestFit="1" customWidth="1"/>
    <col min="9220" max="9220" width="15.7109375" customWidth="1"/>
    <col min="9221" max="9221" width="15" customWidth="1"/>
    <col min="9222" max="9222" width="14.140625" customWidth="1"/>
    <col min="9223" max="9223" width="13.28515625" customWidth="1"/>
    <col min="9224" max="9224" width="14.7109375" customWidth="1"/>
    <col min="9225" max="9225" width="14" customWidth="1"/>
    <col min="9226" max="9226" width="16.42578125" customWidth="1"/>
    <col min="9227" max="9227" width="14.85546875" bestFit="1" customWidth="1"/>
    <col min="9228" max="9228" width="16.28515625" customWidth="1"/>
    <col min="9474" max="9474" width="11.5703125" bestFit="1" customWidth="1"/>
    <col min="9475" max="9475" width="52" bestFit="1" customWidth="1"/>
    <col min="9476" max="9476" width="15.7109375" customWidth="1"/>
    <col min="9477" max="9477" width="15" customWidth="1"/>
    <col min="9478" max="9478" width="14.140625" customWidth="1"/>
    <col min="9479" max="9479" width="13.28515625" customWidth="1"/>
    <col min="9480" max="9480" width="14.7109375" customWidth="1"/>
    <col min="9481" max="9481" width="14" customWidth="1"/>
    <col min="9482" max="9482" width="16.42578125" customWidth="1"/>
    <col min="9483" max="9483" width="14.85546875" bestFit="1" customWidth="1"/>
    <col min="9484" max="9484" width="16.28515625" customWidth="1"/>
    <col min="9730" max="9730" width="11.5703125" bestFit="1" customWidth="1"/>
    <col min="9731" max="9731" width="52" bestFit="1" customWidth="1"/>
    <col min="9732" max="9732" width="15.7109375" customWidth="1"/>
    <col min="9733" max="9733" width="15" customWidth="1"/>
    <col min="9734" max="9734" width="14.140625" customWidth="1"/>
    <col min="9735" max="9735" width="13.28515625" customWidth="1"/>
    <col min="9736" max="9736" width="14.7109375" customWidth="1"/>
    <col min="9737" max="9737" width="14" customWidth="1"/>
    <col min="9738" max="9738" width="16.42578125" customWidth="1"/>
    <col min="9739" max="9739" width="14.85546875" bestFit="1" customWidth="1"/>
    <col min="9740" max="9740" width="16.28515625" customWidth="1"/>
    <col min="9986" max="9986" width="11.5703125" bestFit="1" customWidth="1"/>
    <col min="9987" max="9987" width="52" bestFit="1" customWidth="1"/>
    <col min="9988" max="9988" width="15.7109375" customWidth="1"/>
    <col min="9989" max="9989" width="15" customWidth="1"/>
    <col min="9990" max="9990" width="14.140625" customWidth="1"/>
    <col min="9991" max="9991" width="13.28515625" customWidth="1"/>
    <col min="9992" max="9992" width="14.7109375" customWidth="1"/>
    <col min="9993" max="9993" width="14" customWidth="1"/>
    <col min="9994" max="9994" width="16.42578125" customWidth="1"/>
    <col min="9995" max="9995" width="14.85546875" bestFit="1" customWidth="1"/>
    <col min="9996" max="9996" width="16.28515625" customWidth="1"/>
    <col min="10242" max="10242" width="11.5703125" bestFit="1" customWidth="1"/>
    <col min="10243" max="10243" width="52" bestFit="1" customWidth="1"/>
    <col min="10244" max="10244" width="15.7109375" customWidth="1"/>
    <col min="10245" max="10245" width="15" customWidth="1"/>
    <col min="10246" max="10246" width="14.140625" customWidth="1"/>
    <col min="10247" max="10247" width="13.28515625" customWidth="1"/>
    <col min="10248" max="10248" width="14.7109375" customWidth="1"/>
    <col min="10249" max="10249" width="14" customWidth="1"/>
    <col min="10250" max="10250" width="16.42578125" customWidth="1"/>
    <col min="10251" max="10251" width="14.85546875" bestFit="1" customWidth="1"/>
    <col min="10252" max="10252" width="16.28515625" customWidth="1"/>
    <col min="10498" max="10498" width="11.5703125" bestFit="1" customWidth="1"/>
    <col min="10499" max="10499" width="52" bestFit="1" customWidth="1"/>
    <col min="10500" max="10500" width="15.7109375" customWidth="1"/>
    <col min="10501" max="10501" width="15" customWidth="1"/>
    <col min="10502" max="10502" width="14.140625" customWidth="1"/>
    <col min="10503" max="10503" width="13.28515625" customWidth="1"/>
    <col min="10504" max="10504" width="14.7109375" customWidth="1"/>
    <col min="10505" max="10505" width="14" customWidth="1"/>
    <col min="10506" max="10506" width="16.42578125" customWidth="1"/>
    <col min="10507" max="10507" width="14.85546875" bestFit="1" customWidth="1"/>
    <col min="10508" max="10508" width="16.28515625" customWidth="1"/>
    <col min="10754" max="10754" width="11.5703125" bestFit="1" customWidth="1"/>
    <col min="10755" max="10755" width="52" bestFit="1" customWidth="1"/>
    <col min="10756" max="10756" width="15.7109375" customWidth="1"/>
    <col min="10757" max="10757" width="15" customWidth="1"/>
    <col min="10758" max="10758" width="14.140625" customWidth="1"/>
    <col min="10759" max="10759" width="13.28515625" customWidth="1"/>
    <col min="10760" max="10760" width="14.7109375" customWidth="1"/>
    <col min="10761" max="10761" width="14" customWidth="1"/>
    <col min="10762" max="10762" width="16.42578125" customWidth="1"/>
    <col min="10763" max="10763" width="14.85546875" bestFit="1" customWidth="1"/>
    <col min="10764" max="10764" width="16.28515625" customWidth="1"/>
    <col min="11010" max="11010" width="11.5703125" bestFit="1" customWidth="1"/>
    <col min="11011" max="11011" width="52" bestFit="1" customWidth="1"/>
    <col min="11012" max="11012" width="15.7109375" customWidth="1"/>
    <col min="11013" max="11013" width="15" customWidth="1"/>
    <col min="11014" max="11014" width="14.140625" customWidth="1"/>
    <col min="11015" max="11015" width="13.28515625" customWidth="1"/>
    <col min="11016" max="11016" width="14.7109375" customWidth="1"/>
    <col min="11017" max="11017" width="14" customWidth="1"/>
    <col min="11018" max="11018" width="16.42578125" customWidth="1"/>
    <col min="11019" max="11019" width="14.85546875" bestFit="1" customWidth="1"/>
    <col min="11020" max="11020" width="16.28515625" customWidth="1"/>
    <col min="11266" max="11266" width="11.5703125" bestFit="1" customWidth="1"/>
    <col min="11267" max="11267" width="52" bestFit="1" customWidth="1"/>
    <col min="11268" max="11268" width="15.7109375" customWidth="1"/>
    <col min="11269" max="11269" width="15" customWidth="1"/>
    <col min="11270" max="11270" width="14.140625" customWidth="1"/>
    <col min="11271" max="11271" width="13.28515625" customWidth="1"/>
    <col min="11272" max="11272" width="14.7109375" customWidth="1"/>
    <col min="11273" max="11273" width="14" customWidth="1"/>
    <col min="11274" max="11274" width="16.42578125" customWidth="1"/>
    <col min="11275" max="11275" width="14.85546875" bestFit="1" customWidth="1"/>
    <col min="11276" max="11276" width="16.28515625" customWidth="1"/>
    <col min="11522" max="11522" width="11.5703125" bestFit="1" customWidth="1"/>
    <col min="11523" max="11523" width="52" bestFit="1" customWidth="1"/>
    <col min="11524" max="11524" width="15.7109375" customWidth="1"/>
    <col min="11525" max="11525" width="15" customWidth="1"/>
    <col min="11526" max="11526" width="14.140625" customWidth="1"/>
    <col min="11527" max="11527" width="13.28515625" customWidth="1"/>
    <col min="11528" max="11528" width="14.7109375" customWidth="1"/>
    <col min="11529" max="11529" width="14" customWidth="1"/>
    <col min="11530" max="11530" width="16.42578125" customWidth="1"/>
    <col min="11531" max="11531" width="14.85546875" bestFit="1" customWidth="1"/>
    <col min="11532" max="11532" width="16.28515625" customWidth="1"/>
    <col min="11778" max="11778" width="11.5703125" bestFit="1" customWidth="1"/>
    <col min="11779" max="11779" width="52" bestFit="1" customWidth="1"/>
    <col min="11780" max="11780" width="15.7109375" customWidth="1"/>
    <col min="11781" max="11781" width="15" customWidth="1"/>
    <col min="11782" max="11782" width="14.140625" customWidth="1"/>
    <col min="11783" max="11783" width="13.28515625" customWidth="1"/>
    <col min="11784" max="11784" width="14.7109375" customWidth="1"/>
    <col min="11785" max="11785" width="14" customWidth="1"/>
    <col min="11786" max="11786" width="16.42578125" customWidth="1"/>
    <col min="11787" max="11787" width="14.85546875" bestFit="1" customWidth="1"/>
    <col min="11788" max="11788" width="16.28515625" customWidth="1"/>
    <col min="12034" max="12034" width="11.5703125" bestFit="1" customWidth="1"/>
    <col min="12035" max="12035" width="52" bestFit="1" customWidth="1"/>
    <col min="12036" max="12036" width="15.7109375" customWidth="1"/>
    <col min="12037" max="12037" width="15" customWidth="1"/>
    <col min="12038" max="12038" width="14.140625" customWidth="1"/>
    <col min="12039" max="12039" width="13.28515625" customWidth="1"/>
    <col min="12040" max="12040" width="14.7109375" customWidth="1"/>
    <col min="12041" max="12041" width="14" customWidth="1"/>
    <col min="12042" max="12042" width="16.42578125" customWidth="1"/>
    <col min="12043" max="12043" width="14.85546875" bestFit="1" customWidth="1"/>
    <col min="12044" max="12044" width="16.28515625" customWidth="1"/>
    <col min="12290" max="12290" width="11.5703125" bestFit="1" customWidth="1"/>
    <col min="12291" max="12291" width="52" bestFit="1" customWidth="1"/>
    <col min="12292" max="12292" width="15.7109375" customWidth="1"/>
    <col min="12293" max="12293" width="15" customWidth="1"/>
    <col min="12294" max="12294" width="14.140625" customWidth="1"/>
    <col min="12295" max="12295" width="13.28515625" customWidth="1"/>
    <col min="12296" max="12296" width="14.7109375" customWidth="1"/>
    <col min="12297" max="12297" width="14" customWidth="1"/>
    <col min="12298" max="12298" width="16.42578125" customWidth="1"/>
    <col min="12299" max="12299" width="14.85546875" bestFit="1" customWidth="1"/>
    <col min="12300" max="12300" width="16.28515625" customWidth="1"/>
    <col min="12546" max="12546" width="11.5703125" bestFit="1" customWidth="1"/>
    <col min="12547" max="12547" width="52" bestFit="1" customWidth="1"/>
    <col min="12548" max="12548" width="15.7109375" customWidth="1"/>
    <col min="12549" max="12549" width="15" customWidth="1"/>
    <col min="12550" max="12550" width="14.140625" customWidth="1"/>
    <col min="12551" max="12551" width="13.28515625" customWidth="1"/>
    <col min="12552" max="12552" width="14.7109375" customWidth="1"/>
    <col min="12553" max="12553" width="14" customWidth="1"/>
    <col min="12554" max="12554" width="16.42578125" customWidth="1"/>
    <col min="12555" max="12555" width="14.85546875" bestFit="1" customWidth="1"/>
    <col min="12556" max="12556" width="16.28515625" customWidth="1"/>
    <col min="12802" max="12802" width="11.5703125" bestFit="1" customWidth="1"/>
    <col min="12803" max="12803" width="52" bestFit="1" customWidth="1"/>
    <col min="12804" max="12804" width="15.7109375" customWidth="1"/>
    <col min="12805" max="12805" width="15" customWidth="1"/>
    <col min="12806" max="12806" width="14.140625" customWidth="1"/>
    <col min="12807" max="12807" width="13.28515625" customWidth="1"/>
    <col min="12808" max="12808" width="14.7109375" customWidth="1"/>
    <col min="12809" max="12809" width="14" customWidth="1"/>
    <col min="12810" max="12810" width="16.42578125" customWidth="1"/>
    <col min="12811" max="12811" width="14.85546875" bestFit="1" customWidth="1"/>
    <col min="12812" max="12812" width="16.28515625" customWidth="1"/>
    <col min="13058" max="13058" width="11.5703125" bestFit="1" customWidth="1"/>
    <col min="13059" max="13059" width="52" bestFit="1" customWidth="1"/>
    <col min="13060" max="13060" width="15.7109375" customWidth="1"/>
    <col min="13061" max="13061" width="15" customWidth="1"/>
    <col min="13062" max="13062" width="14.140625" customWidth="1"/>
    <col min="13063" max="13063" width="13.28515625" customWidth="1"/>
    <col min="13064" max="13064" width="14.7109375" customWidth="1"/>
    <col min="13065" max="13065" width="14" customWidth="1"/>
    <col min="13066" max="13066" width="16.42578125" customWidth="1"/>
    <col min="13067" max="13067" width="14.85546875" bestFit="1" customWidth="1"/>
    <col min="13068" max="13068" width="16.28515625" customWidth="1"/>
    <col min="13314" max="13314" width="11.5703125" bestFit="1" customWidth="1"/>
    <col min="13315" max="13315" width="52" bestFit="1" customWidth="1"/>
    <col min="13316" max="13316" width="15.7109375" customWidth="1"/>
    <col min="13317" max="13317" width="15" customWidth="1"/>
    <col min="13318" max="13318" width="14.140625" customWidth="1"/>
    <col min="13319" max="13319" width="13.28515625" customWidth="1"/>
    <col min="13320" max="13320" width="14.7109375" customWidth="1"/>
    <col min="13321" max="13321" width="14" customWidth="1"/>
    <col min="13322" max="13322" width="16.42578125" customWidth="1"/>
    <col min="13323" max="13323" width="14.85546875" bestFit="1" customWidth="1"/>
    <col min="13324" max="13324" width="16.28515625" customWidth="1"/>
    <col min="13570" max="13570" width="11.5703125" bestFit="1" customWidth="1"/>
    <col min="13571" max="13571" width="52" bestFit="1" customWidth="1"/>
    <col min="13572" max="13572" width="15.7109375" customWidth="1"/>
    <col min="13573" max="13573" width="15" customWidth="1"/>
    <col min="13574" max="13574" width="14.140625" customWidth="1"/>
    <col min="13575" max="13575" width="13.28515625" customWidth="1"/>
    <col min="13576" max="13576" width="14.7109375" customWidth="1"/>
    <col min="13577" max="13577" width="14" customWidth="1"/>
    <col min="13578" max="13578" width="16.42578125" customWidth="1"/>
    <col min="13579" max="13579" width="14.85546875" bestFit="1" customWidth="1"/>
    <col min="13580" max="13580" width="16.28515625" customWidth="1"/>
    <col min="13826" max="13826" width="11.5703125" bestFit="1" customWidth="1"/>
    <col min="13827" max="13827" width="52" bestFit="1" customWidth="1"/>
    <col min="13828" max="13828" width="15.7109375" customWidth="1"/>
    <col min="13829" max="13829" width="15" customWidth="1"/>
    <col min="13830" max="13830" width="14.140625" customWidth="1"/>
    <col min="13831" max="13831" width="13.28515625" customWidth="1"/>
    <col min="13832" max="13832" width="14.7109375" customWidth="1"/>
    <col min="13833" max="13833" width="14" customWidth="1"/>
    <col min="13834" max="13834" width="16.42578125" customWidth="1"/>
    <col min="13835" max="13835" width="14.85546875" bestFit="1" customWidth="1"/>
    <col min="13836" max="13836" width="16.28515625" customWidth="1"/>
    <col min="14082" max="14082" width="11.5703125" bestFit="1" customWidth="1"/>
    <col min="14083" max="14083" width="52" bestFit="1" customWidth="1"/>
    <col min="14084" max="14084" width="15.7109375" customWidth="1"/>
    <col min="14085" max="14085" width="15" customWidth="1"/>
    <col min="14086" max="14086" width="14.140625" customWidth="1"/>
    <col min="14087" max="14087" width="13.28515625" customWidth="1"/>
    <col min="14088" max="14088" width="14.7109375" customWidth="1"/>
    <col min="14089" max="14089" width="14" customWidth="1"/>
    <col min="14090" max="14090" width="16.42578125" customWidth="1"/>
    <col min="14091" max="14091" width="14.85546875" bestFit="1" customWidth="1"/>
    <col min="14092" max="14092" width="16.28515625" customWidth="1"/>
    <col min="14338" max="14338" width="11.5703125" bestFit="1" customWidth="1"/>
    <col min="14339" max="14339" width="52" bestFit="1" customWidth="1"/>
    <col min="14340" max="14340" width="15.7109375" customWidth="1"/>
    <col min="14341" max="14341" width="15" customWidth="1"/>
    <col min="14342" max="14342" width="14.140625" customWidth="1"/>
    <col min="14343" max="14343" width="13.28515625" customWidth="1"/>
    <col min="14344" max="14344" width="14.7109375" customWidth="1"/>
    <col min="14345" max="14345" width="14" customWidth="1"/>
    <col min="14346" max="14346" width="16.42578125" customWidth="1"/>
    <col min="14347" max="14347" width="14.85546875" bestFit="1" customWidth="1"/>
    <col min="14348" max="14348" width="16.28515625" customWidth="1"/>
    <col min="14594" max="14594" width="11.5703125" bestFit="1" customWidth="1"/>
    <col min="14595" max="14595" width="52" bestFit="1" customWidth="1"/>
    <col min="14596" max="14596" width="15.7109375" customWidth="1"/>
    <col min="14597" max="14597" width="15" customWidth="1"/>
    <col min="14598" max="14598" width="14.140625" customWidth="1"/>
    <col min="14599" max="14599" width="13.28515625" customWidth="1"/>
    <col min="14600" max="14600" width="14.7109375" customWidth="1"/>
    <col min="14601" max="14601" width="14" customWidth="1"/>
    <col min="14602" max="14602" width="16.42578125" customWidth="1"/>
    <col min="14603" max="14603" width="14.85546875" bestFit="1" customWidth="1"/>
    <col min="14604" max="14604" width="16.28515625" customWidth="1"/>
    <col min="14850" max="14850" width="11.5703125" bestFit="1" customWidth="1"/>
    <col min="14851" max="14851" width="52" bestFit="1" customWidth="1"/>
    <col min="14852" max="14852" width="15.7109375" customWidth="1"/>
    <col min="14853" max="14853" width="15" customWidth="1"/>
    <col min="14854" max="14854" width="14.140625" customWidth="1"/>
    <col min="14855" max="14855" width="13.28515625" customWidth="1"/>
    <col min="14856" max="14856" width="14.7109375" customWidth="1"/>
    <col min="14857" max="14857" width="14" customWidth="1"/>
    <col min="14858" max="14858" width="16.42578125" customWidth="1"/>
    <col min="14859" max="14859" width="14.85546875" bestFit="1" customWidth="1"/>
    <col min="14860" max="14860" width="16.28515625" customWidth="1"/>
    <col min="15106" max="15106" width="11.5703125" bestFit="1" customWidth="1"/>
    <col min="15107" max="15107" width="52" bestFit="1" customWidth="1"/>
    <col min="15108" max="15108" width="15.7109375" customWidth="1"/>
    <col min="15109" max="15109" width="15" customWidth="1"/>
    <col min="15110" max="15110" width="14.140625" customWidth="1"/>
    <col min="15111" max="15111" width="13.28515625" customWidth="1"/>
    <col min="15112" max="15112" width="14.7109375" customWidth="1"/>
    <col min="15113" max="15113" width="14" customWidth="1"/>
    <col min="15114" max="15114" width="16.42578125" customWidth="1"/>
    <col min="15115" max="15115" width="14.85546875" bestFit="1" customWidth="1"/>
    <col min="15116" max="15116" width="16.28515625" customWidth="1"/>
    <col min="15362" max="15362" width="11.5703125" bestFit="1" customWidth="1"/>
    <col min="15363" max="15363" width="52" bestFit="1" customWidth="1"/>
    <col min="15364" max="15364" width="15.7109375" customWidth="1"/>
    <col min="15365" max="15365" width="15" customWidth="1"/>
    <col min="15366" max="15366" width="14.140625" customWidth="1"/>
    <col min="15367" max="15367" width="13.28515625" customWidth="1"/>
    <col min="15368" max="15368" width="14.7109375" customWidth="1"/>
    <col min="15369" max="15369" width="14" customWidth="1"/>
    <col min="15370" max="15370" width="16.42578125" customWidth="1"/>
    <col min="15371" max="15371" width="14.85546875" bestFit="1" customWidth="1"/>
    <col min="15372" max="15372" width="16.28515625" customWidth="1"/>
    <col min="15618" max="15618" width="11.5703125" bestFit="1" customWidth="1"/>
    <col min="15619" max="15619" width="52" bestFit="1" customWidth="1"/>
    <col min="15620" max="15620" width="15.7109375" customWidth="1"/>
    <col min="15621" max="15621" width="15" customWidth="1"/>
    <col min="15622" max="15622" width="14.140625" customWidth="1"/>
    <col min="15623" max="15623" width="13.28515625" customWidth="1"/>
    <col min="15624" max="15624" width="14.7109375" customWidth="1"/>
    <col min="15625" max="15625" width="14" customWidth="1"/>
    <col min="15626" max="15626" width="16.42578125" customWidth="1"/>
    <col min="15627" max="15627" width="14.85546875" bestFit="1" customWidth="1"/>
    <col min="15628" max="15628" width="16.28515625" customWidth="1"/>
    <col min="15874" max="15874" width="11.5703125" bestFit="1" customWidth="1"/>
    <col min="15875" max="15875" width="52" bestFit="1" customWidth="1"/>
    <col min="15876" max="15876" width="15.7109375" customWidth="1"/>
    <col min="15877" max="15877" width="15" customWidth="1"/>
    <col min="15878" max="15878" width="14.140625" customWidth="1"/>
    <col min="15879" max="15879" width="13.28515625" customWidth="1"/>
    <col min="15880" max="15880" width="14.7109375" customWidth="1"/>
    <col min="15881" max="15881" width="14" customWidth="1"/>
    <col min="15882" max="15882" width="16.42578125" customWidth="1"/>
    <col min="15883" max="15883" width="14.85546875" bestFit="1" customWidth="1"/>
    <col min="15884" max="15884" width="16.28515625" customWidth="1"/>
    <col min="16130" max="16130" width="11.5703125" bestFit="1" customWidth="1"/>
    <col min="16131" max="16131" width="52" bestFit="1" customWidth="1"/>
    <col min="16132" max="16132" width="15.7109375" customWidth="1"/>
    <col min="16133" max="16133" width="15" customWidth="1"/>
    <col min="16134" max="16134" width="14.140625" customWidth="1"/>
    <col min="16135" max="16135" width="13.28515625" customWidth="1"/>
    <col min="16136" max="16136" width="14.7109375" customWidth="1"/>
    <col min="16137" max="16137" width="14" customWidth="1"/>
    <col min="16138" max="16138" width="16.42578125" customWidth="1"/>
    <col min="16139" max="16139" width="14.85546875" bestFit="1" customWidth="1"/>
    <col min="16140" max="16140" width="16.28515625" customWidth="1"/>
  </cols>
  <sheetData>
    <row r="2" spans="2:11" ht="19.5" x14ac:dyDescent="0.3">
      <c r="B2" s="4" t="s">
        <v>1238</v>
      </c>
      <c r="C2" s="5"/>
      <c r="D2" s="6"/>
      <c r="E2" s="6"/>
      <c r="F2" s="6"/>
      <c r="G2" s="6"/>
      <c r="H2" s="6"/>
      <c r="I2" s="6"/>
      <c r="J2" s="6"/>
    </row>
    <row r="3" spans="2:11" ht="15.75" thickBot="1" x14ac:dyDescent="0.3">
      <c r="B3" s="7"/>
      <c r="C3" s="7"/>
      <c r="D3" s="8"/>
      <c r="E3" s="8"/>
      <c r="F3" s="8"/>
      <c r="G3" s="8"/>
      <c r="H3" s="8"/>
      <c r="I3" s="8"/>
      <c r="J3" s="8"/>
      <c r="K3" s="9"/>
    </row>
    <row r="4" spans="2:11" ht="60.75" customHeight="1" thickTop="1" thickBot="1" x14ac:dyDescent="0.25">
      <c r="B4" s="10" t="s">
        <v>0</v>
      </c>
      <c r="C4" s="11" t="s">
        <v>1</v>
      </c>
      <c r="D4" s="155" t="s">
        <v>803</v>
      </c>
      <c r="E4" s="155" t="s">
        <v>1233</v>
      </c>
      <c r="F4" s="155" t="s">
        <v>1234</v>
      </c>
      <c r="G4" s="155" t="s">
        <v>1235</v>
      </c>
      <c r="H4" s="155" t="s">
        <v>1236</v>
      </c>
      <c r="I4" s="155" t="s">
        <v>1237</v>
      </c>
      <c r="J4" s="155" t="s">
        <v>1239</v>
      </c>
      <c r="K4" s="12" t="s">
        <v>679</v>
      </c>
    </row>
    <row r="5" spans="2:11" ht="16.5" thickTop="1" thickBot="1" x14ac:dyDescent="0.3">
      <c r="B5" s="21">
        <v>112000</v>
      </c>
      <c r="C5" s="21" t="s">
        <v>2</v>
      </c>
      <c r="D5" s="22">
        <v>39583781.299999997</v>
      </c>
      <c r="E5" s="22">
        <f>E6</f>
        <v>2485492.84</v>
      </c>
      <c r="F5" s="79">
        <f>F6</f>
        <v>-829781.70000000007</v>
      </c>
      <c r="G5" s="79">
        <f>G6</f>
        <v>-206.45</v>
      </c>
      <c r="H5" s="79">
        <f>H6</f>
        <v>-9500236.4897999987</v>
      </c>
      <c r="I5" s="79">
        <f>I6</f>
        <v>-13939.779999999999</v>
      </c>
      <c r="J5" s="55">
        <f>J6+J109</f>
        <v>31725109.720199984</v>
      </c>
      <c r="K5" s="56">
        <f>VLOOKUP(B5,'Balancete Contab. 12 2020'!A:G,7,0)-J5</f>
        <v>-1.9998475909233093E-4</v>
      </c>
    </row>
    <row r="6" spans="2:11" ht="13.5" thickTop="1" x14ac:dyDescent="0.2">
      <c r="B6" s="14">
        <v>115800</v>
      </c>
      <c r="C6" s="15" t="s">
        <v>2</v>
      </c>
      <c r="D6" s="58">
        <v>38221524.789999999</v>
      </c>
      <c r="E6" s="17">
        <f>RESUMO!E35+RESUMO!E72</f>
        <v>2485492.84</v>
      </c>
      <c r="F6" s="17">
        <f>F35+F38+F72</f>
        <v>-829781.70000000007</v>
      </c>
      <c r="G6" s="57">
        <f>G128*-1</f>
        <v>-206.45</v>
      </c>
      <c r="H6" s="157">
        <f>depreciações!O5</f>
        <v>-9500236.4897999987</v>
      </c>
      <c r="I6" s="157">
        <f>SUM(I35+I38-I72)*-1</f>
        <v>-13939.779999999999</v>
      </c>
      <c r="J6" s="17">
        <f>D6+E6+F6+G6+H6+I6</f>
        <v>30362853.210199989</v>
      </c>
      <c r="K6" s="18">
        <f>VLOOKUP(B6,'Balancete Contab. 12 2020'!A:G,7,0)-J6</f>
        <v>-1.9998848438262939E-4</v>
      </c>
    </row>
    <row r="7" spans="2:11" x14ac:dyDescent="0.2">
      <c r="B7" s="19">
        <v>116085</v>
      </c>
      <c r="C7" s="20" t="s">
        <v>3</v>
      </c>
      <c r="D7" s="16">
        <v>41779371.770000003</v>
      </c>
      <c r="E7" s="17">
        <f>adições!O7</f>
        <v>0</v>
      </c>
      <c r="F7" s="17"/>
      <c r="G7" s="17"/>
      <c r="H7" s="157"/>
      <c r="I7" s="157">
        <f>baixas!O8</f>
        <v>0</v>
      </c>
      <c r="J7" s="17">
        <f>D7+E7-I7</f>
        <v>41779371.770000003</v>
      </c>
      <c r="K7" s="18">
        <f>VLOOKUP(B7,'Balancete Contab. 12 2020'!A:G,7,0)-J7</f>
        <v>0</v>
      </c>
    </row>
    <row r="8" spans="2:11" x14ac:dyDescent="0.2">
      <c r="B8" s="19">
        <v>116090</v>
      </c>
      <c r="C8" s="20" t="s">
        <v>4</v>
      </c>
      <c r="D8" s="16">
        <v>40892648.960000001</v>
      </c>
      <c r="E8" s="17">
        <f>adições!O8</f>
        <v>3600</v>
      </c>
      <c r="F8" s="17">
        <f>'participações CSC Alfa'!O9</f>
        <v>-393083.34</v>
      </c>
      <c r="G8" s="17">
        <f>'tranf. proj'!O7</f>
        <v>699612.77</v>
      </c>
      <c r="H8" s="157"/>
      <c r="I8" s="157"/>
      <c r="J8" s="17">
        <f t="shared" ref="J8:J27" si="0">D8+E8-I8+G8+F8</f>
        <v>41202778.390000001</v>
      </c>
      <c r="K8" s="18">
        <f>VLOOKUP(B8,'Balancete Contab. 12 2020'!A:G,7,0)-J8</f>
        <v>0</v>
      </c>
    </row>
    <row r="9" spans="2:11" x14ac:dyDescent="0.2">
      <c r="B9" s="19">
        <v>116095</v>
      </c>
      <c r="C9" s="20" t="s">
        <v>5</v>
      </c>
      <c r="D9" s="16">
        <v>253171.52000000002</v>
      </c>
      <c r="E9" s="17">
        <f>adições!O9</f>
        <v>7150</v>
      </c>
      <c r="F9" s="17">
        <f>'participações CSC Alfa'!O10</f>
        <v>393083.34</v>
      </c>
      <c r="G9" s="17">
        <f>'tranf. proj'!O8</f>
        <v>0</v>
      </c>
      <c r="H9" s="157"/>
      <c r="I9" s="157"/>
      <c r="J9" s="17">
        <f t="shared" si="0"/>
        <v>653404.8600000001</v>
      </c>
      <c r="K9" s="18">
        <f>VLOOKUP(B9,'Balancete Contab. 12 2020'!A:G,7,0)-J9</f>
        <v>0</v>
      </c>
    </row>
    <row r="10" spans="2:11" x14ac:dyDescent="0.2">
      <c r="B10" s="19">
        <v>116097</v>
      </c>
      <c r="C10" s="20" t="s">
        <v>6</v>
      </c>
      <c r="D10" s="16">
        <v>-419319.34</v>
      </c>
      <c r="E10" s="17">
        <f>adições!O10</f>
        <v>0</v>
      </c>
      <c r="F10" s="17">
        <f>'participações CSC Alfa'!O11</f>
        <v>-381618.9</v>
      </c>
      <c r="G10" s="17"/>
      <c r="H10" s="157"/>
      <c r="I10" s="157"/>
      <c r="J10" s="17">
        <f t="shared" si="0"/>
        <v>-800938.24</v>
      </c>
      <c r="K10" s="18">
        <f>VLOOKUP(B10,'Balancete Contab. 12 2020'!A:G,7,0)-J10</f>
        <v>0</v>
      </c>
    </row>
    <row r="11" spans="2:11" x14ac:dyDescent="0.2">
      <c r="B11" s="19">
        <v>118110</v>
      </c>
      <c r="C11" s="20" t="s">
        <v>8</v>
      </c>
      <c r="D11" s="16">
        <v>3849680.4699999997</v>
      </c>
      <c r="E11" s="17">
        <f>adições!O11</f>
        <v>142854.44</v>
      </c>
      <c r="F11" s="17">
        <f>'participações CSC Alfa'!O13</f>
        <v>-68454.789999999994</v>
      </c>
      <c r="G11" s="17">
        <f>'tranf. proj'!O11</f>
        <v>90747.09</v>
      </c>
      <c r="H11" s="157"/>
      <c r="I11" s="157">
        <f>baixas!O13</f>
        <v>8391.42</v>
      </c>
      <c r="J11" s="17">
        <f t="shared" si="0"/>
        <v>4006435.7899999996</v>
      </c>
      <c r="K11" s="18">
        <f>VLOOKUP(B11,'Balancete Contab. 12 2020'!A:G,7,0)-J11</f>
        <v>0</v>
      </c>
    </row>
    <row r="12" spans="2:11" x14ac:dyDescent="0.2">
      <c r="B12" s="19">
        <v>118115</v>
      </c>
      <c r="C12" s="20" t="s">
        <v>9</v>
      </c>
      <c r="D12" s="16">
        <v>41832.639999999999</v>
      </c>
      <c r="E12" s="17"/>
      <c r="F12" s="17">
        <f>'participações CSC Alfa'!O14</f>
        <v>68454.789999999994</v>
      </c>
      <c r="G12" s="17">
        <f>'tranf. proj'!O12</f>
        <v>0</v>
      </c>
      <c r="H12" s="157"/>
      <c r="I12" s="157"/>
      <c r="J12" s="17">
        <f t="shared" si="0"/>
        <v>110287.43</v>
      </c>
      <c r="K12" s="18">
        <f>VLOOKUP(B12,'Balancete Contab. 12 2020'!A:G,7,0)-J12</f>
        <v>0</v>
      </c>
    </row>
    <row r="13" spans="2:11" x14ac:dyDescent="0.2">
      <c r="B13" s="19">
        <v>118120</v>
      </c>
      <c r="C13" s="20" t="s">
        <v>10</v>
      </c>
      <c r="D13" s="16">
        <v>-38907.03</v>
      </c>
      <c r="E13" s="17"/>
      <c r="F13" s="17">
        <f>'participações CSC Alfa'!O15</f>
        <v>-74741.27</v>
      </c>
      <c r="G13" s="17"/>
      <c r="H13" s="157"/>
      <c r="I13" s="157"/>
      <c r="J13" s="17">
        <f t="shared" si="0"/>
        <v>-113648.3</v>
      </c>
      <c r="K13" s="18">
        <f>VLOOKUP(B13,'Balancete Contab. 12 2020'!A:G,7,0)-J13</f>
        <v>0</v>
      </c>
    </row>
    <row r="14" spans="2:11" x14ac:dyDescent="0.2">
      <c r="B14" s="19">
        <v>118135</v>
      </c>
      <c r="C14" s="20" t="s">
        <v>11</v>
      </c>
      <c r="D14" s="16">
        <v>1842573.85</v>
      </c>
      <c r="E14" s="17">
        <f>adições!O13</f>
        <v>43615.3</v>
      </c>
      <c r="F14" s="17">
        <f>'participações CSC Alfa'!O16</f>
        <v>-139595</v>
      </c>
      <c r="G14" s="17">
        <f>'tranf. proj'!O13</f>
        <v>120016.15</v>
      </c>
      <c r="H14" s="157"/>
      <c r="I14" s="157">
        <f>baixas!O15</f>
        <v>62454.96</v>
      </c>
      <c r="J14" s="17">
        <f t="shared" si="0"/>
        <v>1804155.34</v>
      </c>
      <c r="K14" s="18">
        <f>VLOOKUP(B14,'Balancete Contab. 12 2020'!A:G,7,0)-J14</f>
        <v>0</v>
      </c>
    </row>
    <row r="15" spans="2:11" x14ac:dyDescent="0.2">
      <c r="B15" s="19">
        <v>118140</v>
      </c>
      <c r="C15" s="20" t="s">
        <v>12</v>
      </c>
      <c r="D15" s="16">
        <v>249438.86</v>
      </c>
      <c r="E15" s="17">
        <f>adições!O14</f>
        <v>0</v>
      </c>
      <c r="F15" s="17"/>
      <c r="G15" s="17"/>
      <c r="H15" s="157"/>
      <c r="I15" s="157"/>
      <c r="J15" s="17">
        <f t="shared" si="0"/>
        <v>249438.86</v>
      </c>
      <c r="K15" s="18">
        <f>VLOOKUP(B15,'Balancete Contab. 12 2020'!A:G,7,0)-J15</f>
        <v>0</v>
      </c>
    </row>
    <row r="16" spans="2:11" x14ac:dyDescent="0.2">
      <c r="B16" s="19">
        <v>118150</v>
      </c>
      <c r="C16" s="20" t="s">
        <v>13</v>
      </c>
      <c r="D16" s="16">
        <v>205720.51</v>
      </c>
      <c r="E16" s="17">
        <f>adições!O15</f>
        <v>0</v>
      </c>
      <c r="F16" s="17">
        <f>'participações CSC Alfa'!O18</f>
        <v>139595</v>
      </c>
      <c r="G16" s="17">
        <f>'tranf. proj'!O15</f>
        <v>0</v>
      </c>
      <c r="H16" s="157"/>
      <c r="I16" s="157"/>
      <c r="J16" s="17">
        <f t="shared" si="0"/>
        <v>345315.51</v>
      </c>
      <c r="K16" s="18">
        <f>VLOOKUP(B16,'Balancete Contab. 12 2020'!A:G,7,0)-J16</f>
        <v>0</v>
      </c>
    </row>
    <row r="17" spans="2:11" x14ac:dyDescent="0.2">
      <c r="B17" s="19">
        <v>118155</v>
      </c>
      <c r="C17" s="20" t="s">
        <v>14</v>
      </c>
      <c r="D17" s="16">
        <v>-284257.67</v>
      </c>
      <c r="E17" s="17">
        <f>adições!O16</f>
        <v>0</v>
      </c>
      <c r="F17" s="17">
        <f>'participações CSC Alfa'!O19</f>
        <v>-120868.18999999999</v>
      </c>
      <c r="G17" s="17"/>
      <c r="H17" s="157"/>
      <c r="I17" s="157"/>
      <c r="J17" s="17">
        <f t="shared" si="0"/>
        <v>-405125.86</v>
      </c>
      <c r="K17" s="18">
        <f>VLOOKUP(B17,'Balancete Contab. 12 2020'!A:G,7,0)-J17</f>
        <v>0</v>
      </c>
    </row>
    <row r="18" spans="2:11" x14ac:dyDescent="0.2">
      <c r="B18" s="19">
        <v>119155</v>
      </c>
      <c r="C18" s="20" t="s">
        <v>15</v>
      </c>
      <c r="D18" s="16">
        <v>12028900.159999998</v>
      </c>
      <c r="E18" s="17">
        <f>adições!O17</f>
        <v>241193.61</v>
      </c>
      <c r="F18" s="17">
        <f>'participações CSC Alfa'!O20</f>
        <v>-208636.94</v>
      </c>
      <c r="G18" s="17">
        <f>'tranf. proj'!O17</f>
        <v>217647.96</v>
      </c>
      <c r="H18" s="157"/>
      <c r="I18" s="157">
        <f>baixas!O19</f>
        <v>18119.199999999997</v>
      </c>
      <c r="J18" s="17">
        <f t="shared" si="0"/>
        <v>12260985.59</v>
      </c>
      <c r="K18" s="69">
        <f>VLOOKUP(B18,'Balancete Contab. 12 2020'!A:G,7,0)-J18</f>
        <v>0</v>
      </c>
    </row>
    <row r="19" spans="2:11" x14ac:dyDescent="0.2">
      <c r="B19" s="19">
        <v>119160</v>
      </c>
      <c r="C19" s="20" t="s">
        <v>16</v>
      </c>
      <c r="D19" s="16">
        <v>163107.73000000001</v>
      </c>
      <c r="E19" s="17">
        <f>adições!O18</f>
        <v>0</v>
      </c>
      <c r="F19" s="17">
        <f>'participações CSC Alfa'!O21</f>
        <v>208636.94</v>
      </c>
      <c r="G19" s="17">
        <f>'tranf. proj'!D18</f>
        <v>0</v>
      </c>
      <c r="H19" s="157"/>
      <c r="I19" s="157"/>
      <c r="J19" s="17">
        <f t="shared" si="0"/>
        <v>371744.67000000004</v>
      </c>
      <c r="K19" s="18">
        <f>VLOOKUP(B19,'Balancete Contab. 12 2020'!A:G,7,0)-J19</f>
        <v>0</v>
      </c>
    </row>
    <row r="20" spans="2:11" x14ac:dyDescent="0.2">
      <c r="B20" s="19">
        <v>119162</v>
      </c>
      <c r="C20" s="20" t="s">
        <v>17</v>
      </c>
      <c r="D20" s="16">
        <v>-297875.59000000003</v>
      </c>
      <c r="E20" s="17">
        <f>adições!O19</f>
        <v>0</v>
      </c>
      <c r="F20" s="17">
        <f>'participações CSC Alfa'!O22</f>
        <v>-140697.96000000002</v>
      </c>
      <c r="G20" s="17"/>
      <c r="H20" s="157"/>
      <c r="I20" s="157"/>
      <c r="J20" s="17">
        <f t="shared" si="0"/>
        <v>-438573.55000000005</v>
      </c>
      <c r="K20" s="18">
        <f>VLOOKUP(B20,'Balancete Contab. 12 2020'!A:G,7,0)-J20</f>
        <v>0</v>
      </c>
    </row>
    <row r="21" spans="2:11" x14ac:dyDescent="0.2">
      <c r="B21" s="19">
        <v>120185</v>
      </c>
      <c r="C21" s="20" t="s">
        <v>18</v>
      </c>
      <c r="D21" s="16">
        <v>288633.85000000009</v>
      </c>
      <c r="E21" s="17">
        <f>adições!O20</f>
        <v>0</v>
      </c>
      <c r="F21" s="17"/>
      <c r="G21" s="17"/>
      <c r="H21" s="157"/>
      <c r="I21" s="157">
        <f>baixas!O22</f>
        <v>0</v>
      </c>
      <c r="J21" s="17">
        <f t="shared" si="0"/>
        <v>288633.85000000009</v>
      </c>
      <c r="K21" s="18">
        <f>VLOOKUP(B21,'Balancete Contab. 12 2020'!A:G,7,0)-J21</f>
        <v>0</v>
      </c>
    </row>
    <row r="22" spans="2:11" x14ac:dyDescent="0.2">
      <c r="B22" s="19">
        <v>122200</v>
      </c>
      <c r="C22" s="20" t="s">
        <v>19</v>
      </c>
      <c r="D22" s="16">
        <v>299322.2099999999</v>
      </c>
      <c r="E22" s="17">
        <f>adições!O21</f>
        <v>0</v>
      </c>
      <c r="F22" s="17"/>
      <c r="G22" s="17"/>
      <c r="H22" s="157"/>
      <c r="I22" s="157">
        <f>baixas!O23</f>
        <v>0</v>
      </c>
      <c r="J22" s="17">
        <f t="shared" si="0"/>
        <v>299322.2099999999</v>
      </c>
      <c r="K22" s="18">
        <f>VLOOKUP(B22,'Balancete Contab. 12 2020'!A:G,7,0)-J22</f>
        <v>0</v>
      </c>
    </row>
    <row r="23" spans="2:11" x14ac:dyDescent="0.2">
      <c r="B23" s="19">
        <v>123505</v>
      </c>
      <c r="C23" s="20" t="s">
        <v>20</v>
      </c>
      <c r="D23" s="16">
        <v>588545.45000000007</v>
      </c>
      <c r="E23" s="17">
        <f>adições!O22</f>
        <v>0</v>
      </c>
      <c r="F23" s="17">
        <f>'participações CSC Alfa'!O17</f>
        <v>0</v>
      </c>
      <c r="G23" s="17">
        <f>'tranf. proj'!O22</f>
        <v>6088.2800000000007</v>
      </c>
      <c r="H23" s="157"/>
      <c r="I23" s="157">
        <f>VLOOKUP(B23,baixas!A:O,15,0)</f>
        <v>0</v>
      </c>
      <c r="J23" s="17">
        <f t="shared" si="0"/>
        <v>594633.7300000001</v>
      </c>
      <c r="K23" s="18">
        <f>VLOOKUP(B23,'Balancete Contab. 12 2020'!A:G,7,0)-J23</f>
        <v>0</v>
      </c>
    </row>
    <row r="24" spans="2:11" x14ac:dyDescent="0.2">
      <c r="B24" s="19">
        <v>123510</v>
      </c>
      <c r="C24" s="20" t="s">
        <v>21</v>
      </c>
      <c r="D24" s="16">
        <v>62483.350000000006</v>
      </c>
      <c r="E24" s="17">
        <f>adições!O23</f>
        <v>0</v>
      </c>
      <c r="F24" s="17"/>
      <c r="G24" s="17">
        <f>'tranf. proj'!O23</f>
        <v>0</v>
      </c>
      <c r="H24" s="157"/>
      <c r="I24" s="157">
        <f>baixas!O25</f>
        <v>0</v>
      </c>
      <c r="J24" s="17">
        <f t="shared" si="0"/>
        <v>62483.350000000006</v>
      </c>
      <c r="K24" s="18">
        <f>VLOOKUP(B24,'Balancete Contab. 12 2020'!A:G,7,0)-J24</f>
        <v>0</v>
      </c>
    </row>
    <row r="25" spans="2:11" x14ac:dyDescent="0.2">
      <c r="B25" s="19">
        <v>123515</v>
      </c>
      <c r="C25" s="20" t="s">
        <v>22</v>
      </c>
      <c r="D25" s="16">
        <v>309954.26</v>
      </c>
      <c r="E25" s="17">
        <f>adições!O24</f>
        <v>0</v>
      </c>
      <c r="F25" s="17"/>
      <c r="G25" s="17">
        <f>'tranf. proj'!O24</f>
        <v>9510.24</v>
      </c>
      <c r="H25" s="157"/>
      <c r="I25" s="157">
        <f>VLOOKUP(B25,baixas!A:O,15,0)</f>
        <v>0</v>
      </c>
      <c r="J25" s="17">
        <f t="shared" si="0"/>
        <v>319464.5</v>
      </c>
      <c r="K25" s="18">
        <f>VLOOKUP(B25,'Balancete Contab. 12 2020'!A:G,7,0)-J25</f>
        <v>0</v>
      </c>
    </row>
    <row r="26" spans="2:11" x14ac:dyDescent="0.2">
      <c r="B26" s="19">
        <v>123520</v>
      </c>
      <c r="C26" s="20" t="s">
        <v>23</v>
      </c>
      <c r="D26" s="16">
        <v>191160.38</v>
      </c>
      <c r="E26" s="17">
        <f>adições!O25</f>
        <v>0</v>
      </c>
      <c r="F26" s="17"/>
      <c r="G26" s="17">
        <f>'tranf. proj'!O25</f>
        <v>5364.88</v>
      </c>
      <c r="H26" s="157"/>
      <c r="I26" s="157">
        <f>VLOOKUP(B26,baixas!A:O,15,0)</f>
        <v>0</v>
      </c>
      <c r="J26" s="17">
        <f t="shared" si="0"/>
        <v>196525.26</v>
      </c>
      <c r="K26" s="18">
        <f>VLOOKUP(B26,'Balancete Contab. 12 2020'!A:G,7,0)-J26</f>
        <v>0</v>
      </c>
    </row>
    <row r="27" spans="2:11" x14ac:dyDescent="0.2">
      <c r="B27" s="19">
        <v>123525</v>
      </c>
      <c r="C27" s="20" t="s">
        <v>24</v>
      </c>
      <c r="D27" s="16">
        <v>25987.869999999908</v>
      </c>
      <c r="E27" s="17">
        <f>adições!O26</f>
        <v>0</v>
      </c>
      <c r="F27" s="17">
        <f>'participações CSC Alfa'!O23</f>
        <v>0</v>
      </c>
      <c r="G27" s="17"/>
      <c r="H27" s="157"/>
      <c r="I27" s="157">
        <f>VLOOKUP(B27,baixas!A:O,15,0)</f>
        <v>0</v>
      </c>
      <c r="J27" s="17">
        <f t="shared" si="0"/>
        <v>25987.869999999908</v>
      </c>
      <c r="K27" s="18">
        <v>0</v>
      </c>
    </row>
    <row r="28" spans="2:11" x14ac:dyDescent="0.2">
      <c r="B28" s="19">
        <v>123530</v>
      </c>
      <c r="C28" s="20" t="s">
        <v>734</v>
      </c>
      <c r="D28" s="16">
        <v>-112.88</v>
      </c>
      <c r="E28" s="17"/>
      <c r="F28" s="17">
        <f>VLOOKUP(B28,'participações CSC Alfa'!A:O,15,0)</f>
        <v>-2487.2199999999998</v>
      </c>
      <c r="G28" s="17"/>
      <c r="H28" s="157"/>
      <c r="I28" s="157">
        <v>0</v>
      </c>
      <c r="J28" s="17">
        <f>SUM(D28:I28)</f>
        <v>-2600.1</v>
      </c>
      <c r="K28" s="18">
        <f>VLOOKUP(B28,'Balancete Contab. 12 2020'!A:G,7,0)-J28</f>
        <v>0</v>
      </c>
    </row>
    <row r="29" spans="2:11" x14ac:dyDescent="0.2">
      <c r="B29" s="19">
        <v>123535</v>
      </c>
      <c r="C29" s="20" t="s">
        <v>735</v>
      </c>
      <c r="D29" s="16">
        <v>-85.2</v>
      </c>
      <c r="E29" s="17"/>
      <c r="F29" s="17">
        <f>VLOOKUP(B29,'participações CSC Alfa'!A:O,15,0)</f>
        <v>-0.25</v>
      </c>
      <c r="G29" s="17"/>
      <c r="H29" s="157"/>
      <c r="I29" s="157">
        <v>0</v>
      </c>
      <c r="J29" s="17">
        <f t="shared" ref="J29:J33" si="1">SUM(D29:I29)</f>
        <v>-85.45</v>
      </c>
      <c r="K29" s="18">
        <f>VLOOKUP(B29,'Balancete Contab. 12 2020'!A:G,7,0)-J29</f>
        <v>0</v>
      </c>
    </row>
    <row r="30" spans="2:11" x14ac:dyDescent="0.2">
      <c r="B30" s="19">
        <v>123540</v>
      </c>
      <c r="C30" s="20" t="s">
        <v>736</v>
      </c>
      <c r="D30" s="16">
        <v>-379.78</v>
      </c>
      <c r="E30" s="17"/>
      <c r="F30" s="17">
        <f>VLOOKUP(B30,'participações CSC Alfa'!A:O,15,0)</f>
        <v>-8465.17</v>
      </c>
      <c r="G30" s="17"/>
      <c r="H30" s="157"/>
      <c r="I30" s="157">
        <v>0</v>
      </c>
      <c r="J30" s="17">
        <f t="shared" si="1"/>
        <v>-8844.9500000000007</v>
      </c>
      <c r="K30" s="18">
        <f>VLOOKUP(B30,'Balancete Contab. 12 2020'!A:G,7,0)-J30</f>
        <v>0</v>
      </c>
    </row>
    <row r="31" spans="2:11" x14ac:dyDescent="0.2">
      <c r="B31" s="19">
        <v>123545</v>
      </c>
      <c r="C31" s="20" t="s">
        <v>737</v>
      </c>
      <c r="D31" s="16">
        <v>-99.34</v>
      </c>
      <c r="E31" s="17"/>
      <c r="F31" s="17">
        <f>VLOOKUP(B31,'participações CSC Alfa'!A:O,15,0)</f>
        <v>-4775.0199999999995</v>
      </c>
      <c r="G31" s="17"/>
      <c r="H31" s="157"/>
      <c r="I31" s="157">
        <v>0</v>
      </c>
      <c r="J31" s="17">
        <f t="shared" si="1"/>
        <v>-4874.3599999999997</v>
      </c>
      <c r="K31" s="18">
        <f>VLOOKUP(B31,'Balancete Contab. 12 2020'!A:G,7,0)-J31</f>
        <v>0</v>
      </c>
    </row>
    <row r="32" spans="2:11" x14ac:dyDescent="0.2">
      <c r="B32" s="19">
        <v>123800</v>
      </c>
      <c r="C32" s="20" t="s">
        <v>784</v>
      </c>
      <c r="D32" s="16">
        <v>28198190.260000002</v>
      </c>
      <c r="E32" s="17">
        <f>adições!O31</f>
        <v>0</v>
      </c>
      <c r="F32" s="17"/>
      <c r="G32" s="17"/>
      <c r="H32" s="157"/>
      <c r="I32" s="157"/>
      <c r="J32" s="17">
        <f t="shared" si="1"/>
        <v>28198190.260000002</v>
      </c>
      <c r="K32" s="18"/>
    </row>
    <row r="33" spans="2:12" x14ac:dyDescent="0.2">
      <c r="B33" s="19">
        <v>124110</v>
      </c>
      <c r="C33" s="20" t="s">
        <v>755</v>
      </c>
      <c r="D33" s="16">
        <v>94959.72</v>
      </c>
      <c r="E33" s="17">
        <f>VLOOKUP(B33,adições!A:O,15,0)</f>
        <v>0</v>
      </c>
      <c r="F33" s="17">
        <v>0</v>
      </c>
      <c r="G33" s="17">
        <v>0</v>
      </c>
      <c r="H33" s="157">
        <v>0</v>
      </c>
      <c r="I33" s="157">
        <v>0</v>
      </c>
      <c r="J33" s="17">
        <f t="shared" si="1"/>
        <v>94959.72</v>
      </c>
      <c r="K33" s="18">
        <f>VLOOKUP(B33,'Balancete Contab. 12 2020'!A:G,7,0)-J33</f>
        <v>0</v>
      </c>
    </row>
    <row r="34" spans="2:12" x14ac:dyDescent="0.2">
      <c r="B34" s="19"/>
      <c r="C34" s="20"/>
      <c r="D34" s="16"/>
      <c r="E34" s="17"/>
      <c r="F34" s="17"/>
      <c r="G34" s="17"/>
      <c r="H34" s="157"/>
      <c r="I34" s="157"/>
      <c r="J34" s="17"/>
      <c r="K34" s="18"/>
    </row>
    <row r="35" spans="2:12" ht="15.75" thickBot="1" x14ac:dyDescent="0.3">
      <c r="B35" s="21"/>
      <c r="C35" s="21"/>
      <c r="D35" s="22">
        <f>SUM(D7:D33)</f>
        <v>130324646.98999998</v>
      </c>
      <c r="E35" s="22">
        <f>SUM(E7:E33)</f>
        <v>438413.35</v>
      </c>
      <c r="F35" s="22">
        <f>SUM(F7:F33)</f>
        <v>-733653.9800000001</v>
      </c>
      <c r="G35" s="22">
        <f>SUM(G7:G33)</f>
        <v>1148987.3699999999</v>
      </c>
      <c r="H35" s="79"/>
      <c r="I35" s="79">
        <f>SUM(I11:I34)</f>
        <v>88965.58</v>
      </c>
      <c r="J35" s="22">
        <f>SUM(J7:J33)</f>
        <v>131089428.15000004</v>
      </c>
      <c r="K35" s="23"/>
    </row>
    <row r="36" spans="2:12" ht="13.5" thickTop="1" x14ac:dyDescent="0.2">
      <c r="B36" s="19"/>
      <c r="C36" s="20"/>
      <c r="D36" s="16"/>
      <c r="E36" s="17"/>
      <c r="F36" s="17"/>
      <c r="G36" s="17"/>
      <c r="H36" s="157"/>
      <c r="I36" s="157"/>
      <c r="J36" s="17"/>
      <c r="K36" s="18"/>
    </row>
    <row r="37" spans="2:12" ht="15.75" thickBot="1" x14ac:dyDescent="0.3">
      <c r="B37" s="21"/>
      <c r="C37" s="21"/>
      <c r="D37" s="22">
        <f>D35-D38-D95</f>
        <v>43618789.66299998</v>
      </c>
      <c r="E37" s="22"/>
      <c r="F37" s="22"/>
      <c r="G37" s="22"/>
      <c r="H37" s="79"/>
      <c r="I37" s="79"/>
      <c r="J37" s="22">
        <f>J35-J38-J95</f>
        <v>40765874.433200032</v>
      </c>
      <c r="K37" s="23"/>
    </row>
    <row r="38" spans="2:12" s="2" customFormat="1" ht="16.5" thickTop="1" thickBot="1" x14ac:dyDescent="0.3">
      <c r="B38" s="71">
        <v>124210</v>
      </c>
      <c r="C38" s="72" t="s">
        <v>251</v>
      </c>
      <c r="D38" s="73">
        <v>86971219.116999999</v>
      </c>
      <c r="E38" s="73"/>
      <c r="F38" s="73">
        <f>SUM(F39:F65)</f>
        <v>-1891.1199999999997</v>
      </c>
      <c r="G38" s="73"/>
      <c r="H38" s="158">
        <f>SUM(H39:H66)</f>
        <v>3739779.6399999997</v>
      </c>
      <c r="I38" s="158">
        <f>SUM(I39:I66)*-1</f>
        <v>-82507.8</v>
      </c>
      <c r="J38" s="73">
        <f>D38+H38+I38-F38</f>
        <v>90630382.077000007</v>
      </c>
      <c r="K38" s="74">
        <f>VLOOKUP(B38,'Balancete Contab. 12 2020'!A:G,7,0)+J38</f>
        <v>-2.9999911785125732E-3</v>
      </c>
      <c r="L38" s="38"/>
    </row>
    <row r="39" spans="2:12" ht="15.75" thickTop="1" x14ac:dyDescent="0.25">
      <c r="B39" s="19">
        <v>124225</v>
      </c>
      <c r="C39" s="35" t="s">
        <v>685</v>
      </c>
      <c r="D39" s="16">
        <v>40276176.490000002</v>
      </c>
      <c r="E39" s="17"/>
      <c r="F39" s="17"/>
      <c r="G39" s="17"/>
      <c r="H39" s="157">
        <f>depreciações!O8</f>
        <v>320276.36</v>
      </c>
      <c r="I39" s="157">
        <f>baixas!O32</f>
        <v>0</v>
      </c>
      <c r="J39" s="17">
        <f>D39+H39-I39</f>
        <v>40596452.850000001</v>
      </c>
      <c r="K39" s="18">
        <f>VLOOKUP(B39,'Balancete Contab. 12 2020'!A:G,7,0)+J39</f>
        <v>0</v>
      </c>
    </row>
    <row r="40" spans="2:12" ht="15" x14ac:dyDescent="0.25">
      <c r="B40" s="19">
        <v>124230</v>
      </c>
      <c r="C40" s="35" t="s">
        <v>686</v>
      </c>
      <c r="D40" s="16">
        <v>32662375.259999998</v>
      </c>
      <c r="E40" s="17"/>
      <c r="F40" s="17">
        <f>'participações CSC Alfa'!O37</f>
        <v>0</v>
      </c>
      <c r="G40" s="17"/>
      <c r="H40" s="157">
        <f>depreciações!O9</f>
        <v>2090051.6800000002</v>
      </c>
      <c r="I40" s="157">
        <f>baixas!O33</f>
        <v>0</v>
      </c>
      <c r="J40" s="17">
        <f t="shared" ref="J40:J44" si="2">D40+H40-I40+F40</f>
        <v>34752426.939999998</v>
      </c>
      <c r="K40" s="18">
        <f>VLOOKUP(B40,'Balancete Contab. 12 2020'!A:G,7,0)+J40</f>
        <v>0</v>
      </c>
    </row>
    <row r="41" spans="2:12" ht="15" x14ac:dyDescent="0.25">
      <c r="B41" s="19">
        <v>124231</v>
      </c>
      <c r="C41" s="35" t="s">
        <v>687</v>
      </c>
      <c r="D41" s="16">
        <v>29712.020000000004</v>
      </c>
      <c r="E41" s="17"/>
      <c r="F41" s="17"/>
      <c r="G41" s="17"/>
      <c r="H41" s="157">
        <f>depreciações!O10</f>
        <v>62051.95</v>
      </c>
      <c r="I41" s="157"/>
      <c r="J41" s="17">
        <f t="shared" si="2"/>
        <v>91763.97</v>
      </c>
      <c r="K41" s="18">
        <f>VLOOKUP(B41,'Balancete Contab. 12 2020'!A:G,7,0)+J41</f>
        <v>0</v>
      </c>
    </row>
    <row r="42" spans="2:12" ht="15" x14ac:dyDescent="0.25">
      <c r="B42" s="19">
        <v>124232</v>
      </c>
      <c r="C42" s="35" t="s">
        <v>688</v>
      </c>
      <c r="D42" s="16">
        <v>-25202.37</v>
      </c>
      <c r="E42" s="17"/>
      <c r="F42" s="17">
        <f>'participações CSC Alfa'!O39</f>
        <v>-556.91999999999996</v>
      </c>
      <c r="G42" s="17"/>
      <c r="H42" s="157">
        <f>depreciações!O11</f>
        <v>-54398.469999999994</v>
      </c>
      <c r="I42" s="157"/>
      <c r="J42" s="17">
        <f>D42+H42-I42-F42</f>
        <v>-79043.92</v>
      </c>
      <c r="K42" s="18">
        <f>VLOOKUP(B42,'Balancete Contab. 12 2020'!A:G,7,0)+J42</f>
        <v>0</v>
      </c>
    </row>
    <row r="43" spans="2:12" ht="15" x14ac:dyDescent="0.25">
      <c r="B43" s="19">
        <v>124235</v>
      </c>
      <c r="C43" s="35" t="s">
        <v>689</v>
      </c>
      <c r="D43" s="16">
        <v>2765329.9770000004</v>
      </c>
      <c r="E43" s="17"/>
      <c r="F43" s="17">
        <v>0</v>
      </c>
      <c r="G43" s="17"/>
      <c r="H43" s="157">
        <f>depreciações!O12</f>
        <v>206394.40999999995</v>
      </c>
      <c r="I43" s="157">
        <f>baixas!O35</f>
        <v>7910.08</v>
      </c>
      <c r="J43" s="17">
        <f t="shared" si="2"/>
        <v>2963814.3070000005</v>
      </c>
      <c r="K43" s="76">
        <f>VLOOKUP(B43,'Balancete Contab. 12 2020'!A:G,7,0)+J43</f>
        <v>-2.9999995604157448E-3</v>
      </c>
    </row>
    <row r="44" spans="2:12" ht="15" x14ac:dyDescent="0.25">
      <c r="B44" s="19">
        <v>124236</v>
      </c>
      <c r="C44" s="35" t="s">
        <v>690</v>
      </c>
      <c r="D44" s="16">
        <v>3926.7799999999997</v>
      </c>
      <c r="E44" s="17"/>
      <c r="F44" s="17"/>
      <c r="G44" s="17"/>
      <c r="H44" s="157">
        <f>depreciações!O13</f>
        <v>9949.26</v>
      </c>
      <c r="I44" s="157"/>
      <c r="J44" s="17">
        <f t="shared" si="2"/>
        <v>13876.04</v>
      </c>
      <c r="K44" s="18">
        <f>VLOOKUP(B44,'Balancete Contab. 12 2020'!A:G,7,0)+J44</f>
        <v>0</v>
      </c>
    </row>
    <row r="45" spans="2:12" ht="15" x14ac:dyDescent="0.25">
      <c r="B45" s="19">
        <v>124237</v>
      </c>
      <c r="C45" s="35" t="s">
        <v>691</v>
      </c>
      <c r="D45" s="16">
        <v>-3306.2699999999995</v>
      </c>
      <c r="E45" s="17"/>
      <c r="F45" s="17">
        <f>'participações CSC Alfa'!O41</f>
        <v>-76.62</v>
      </c>
      <c r="G45" s="17"/>
      <c r="H45" s="157">
        <f>depreciações!O14</f>
        <v>-8285.869999999999</v>
      </c>
      <c r="I45" s="157"/>
      <c r="J45" s="17">
        <f>D45+H45-I45-F45</f>
        <v>-11515.519999999999</v>
      </c>
      <c r="K45" s="18">
        <f>VLOOKUP(B45,'Balancete Contab. 12 2020'!A:G,7,0)+J45</f>
        <v>0</v>
      </c>
    </row>
    <row r="46" spans="2:12" ht="15" x14ac:dyDescent="0.25">
      <c r="B46" s="19">
        <v>124255</v>
      </c>
      <c r="C46" s="35" t="s">
        <v>692</v>
      </c>
      <c r="D46" s="16">
        <v>1337748.4500000002</v>
      </c>
      <c r="E46" s="17"/>
      <c r="F46" s="17"/>
      <c r="G46" s="17"/>
      <c r="H46" s="157">
        <f>depreciações!O15</f>
        <v>113972.92</v>
      </c>
      <c r="I46" s="157">
        <f>baixas!O37</f>
        <v>58232.47</v>
      </c>
      <c r="J46" s="17">
        <f t="shared" ref="J46:J70" si="3">D46+H46-I46</f>
        <v>1393488.9000000001</v>
      </c>
      <c r="K46" s="18">
        <f>VLOOKUP(B46,'Balancete Contab. 12 2020'!A:G,7,0)+J46</f>
        <v>0</v>
      </c>
    </row>
    <row r="47" spans="2:12" ht="15" x14ac:dyDescent="0.25">
      <c r="B47" s="19">
        <v>124256</v>
      </c>
      <c r="C47" s="35" t="s">
        <v>693</v>
      </c>
      <c r="D47" s="16">
        <v>46389.069999999992</v>
      </c>
      <c r="E47" s="17"/>
      <c r="F47" s="17"/>
      <c r="G47" s="17"/>
      <c r="H47" s="157">
        <f>depreciações!O16</f>
        <v>68951.589999999982</v>
      </c>
      <c r="I47" s="157"/>
      <c r="J47" s="17">
        <f t="shared" si="3"/>
        <v>115340.65999999997</v>
      </c>
      <c r="K47" s="18">
        <f>VLOOKUP(B47,'Balancete Contab. 12 2020'!A:G,7,0)+J47</f>
        <v>0</v>
      </c>
    </row>
    <row r="48" spans="2:12" ht="15" x14ac:dyDescent="0.25">
      <c r="B48" s="19">
        <v>124257</v>
      </c>
      <c r="C48" s="35" t="s">
        <v>694</v>
      </c>
      <c r="D48" s="16">
        <v>-39158.33</v>
      </c>
      <c r="E48" s="17"/>
      <c r="F48" s="17">
        <f>'participações CSC Alfa'!O44</f>
        <v>-892.92</v>
      </c>
      <c r="G48" s="17"/>
      <c r="H48" s="157">
        <f>depreciações!O17</f>
        <v>-60645.279999999999</v>
      </c>
      <c r="I48" s="157"/>
      <c r="J48" s="17">
        <f>D48+H48-I48-F48</f>
        <v>-98910.69</v>
      </c>
      <c r="K48" s="18">
        <f>VLOOKUP(B48,'Balancete Contab. 12 2020'!A:G,7,0)+J48</f>
        <v>0</v>
      </c>
    </row>
    <row r="49" spans="2:11" ht="15" x14ac:dyDescent="0.25">
      <c r="B49" s="19">
        <v>124260</v>
      </c>
      <c r="C49" s="35" t="s">
        <v>695</v>
      </c>
      <c r="D49" s="16">
        <v>157977.62</v>
      </c>
      <c r="E49" s="17"/>
      <c r="F49" s="17"/>
      <c r="G49" s="17"/>
      <c r="H49" s="157">
        <f>depreciações!O18</f>
        <v>49887.83</v>
      </c>
      <c r="I49" s="157"/>
      <c r="J49" s="17">
        <f t="shared" si="3"/>
        <v>207865.45</v>
      </c>
      <c r="K49" s="18">
        <f>VLOOKUP(B49,'Balancete Contab. 12 2020'!A:G,7,0)+J49</f>
        <v>0</v>
      </c>
    </row>
    <row r="50" spans="2:11" ht="15" x14ac:dyDescent="0.25">
      <c r="B50" s="19">
        <v>124270</v>
      </c>
      <c r="C50" s="35" t="s">
        <v>696</v>
      </c>
      <c r="D50" s="16">
        <v>9162799.5700000003</v>
      </c>
      <c r="E50" s="17"/>
      <c r="F50" s="17">
        <v>0</v>
      </c>
      <c r="G50" s="17"/>
      <c r="H50" s="157">
        <f>depreciações!O19</f>
        <v>706433.34</v>
      </c>
      <c r="I50" s="157">
        <f>baixas!O40</f>
        <v>16365.25</v>
      </c>
      <c r="J50" s="17">
        <f>D50+H50-I50+F50</f>
        <v>9852867.6600000001</v>
      </c>
      <c r="K50" s="18">
        <f>VLOOKUP(B50,'Balancete Contab. 12 2020'!A:G,7,0)+J50</f>
        <v>0</v>
      </c>
    </row>
    <row r="51" spans="2:11" ht="15" x14ac:dyDescent="0.25">
      <c r="B51" s="19">
        <v>124275</v>
      </c>
      <c r="C51" s="35" t="s">
        <v>697</v>
      </c>
      <c r="D51" s="16">
        <v>19739.12</v>
      </c>
      <c r="E51" s="17"/>
      <c r="F51" s="17"/>
      <c r="G51" s="17"/>
      <c r="H51" s="157">
        <f>depreciações!O20</f>
        <v>36678.539999999994</v>
      </c>
      <c r="I51" s="157"/>
      <c r="J51" s="17">
        <f t="shared" si="3"/>
        <v>56417.659999999989</v>
      </c>
      <c r="K51" s="18">
        <f>VLOOKUP(B51,'Balancete Contab. 12 2020'!A:G,7,0)+J51</f>
        <v>0</v>
      </c>
    </row>
    <row r="52" spans="2:11" ht="15" x14ac:dyDescent="0.25">
      <c r="B52" s="19">
        <v>124276</v>
      </c>
      <c r="C52" s="35" t="s">
        <v>698</v>
      </c>
      <c r="D52" s="16">
        <v>-16790.32</v>
      </c>
      <c r="E52" s="17"/>
      <c r="F52" s="17">
        <f>'participações CSC Alfa'!O48</f>
        <v>-364.12</v>
      </c>
      <c r="G52" s="17"/>
      <c r="H52" s="157">
        <f>depreciações!O21</f>
        <v>-32398.589999999997</v>
      </c>
      <c r="I52" s="157"/>
      <c r="J52" s="17">
        <f>D52+H52-I52-F52</f>
        <v>-48824.789999999994</v>
      </c>
      <c r="K52" s="18">
        <f>VLOOKUP(B52,'Balancete Contab. 12 2020'!A:G,7,0)+J52</f>
        <v>0</v>
      </c>
    </row>
    <row r="53" spans="2:11" ht="15" x14ac:dyDescent="0.25">
      <c r="B53" s="19">
        <v>124300</v>
      </c>
      <c r="C53" s="35" t="s">
        <v>699</v>
      </c>
      <c r="D53" s="16">
        <v>288633.84999999998</v>
      </c>
      <c r="E53" s="17"/>
      <c r="F53" s="17"/>
      <c r="G53" s="17"/>
      <c r="H53" s="157">
        <f>depreciações!O22</f>
        <v>0</v>
      </c>
      <c r="I53" s="157">
        <f>baixas!O43</f>
        <v>0</v>
      </c>
      <c r="J53" s="17">
        <f t="shared" si="3"/>
        <v>288633.84999999998</v>
      </c>
      <c r="K53" s="18">
        <f>VLOOKUP(B53,'Balancete Contab. 12 2020'!A:G,7,0)+J53</f>
        <v>0</v>
      </c>
    </row>
    <row r="54" spans="2:11" ht="15" x14ac:dyDescent="0.25">
      <c r="B54" s="19">
        <v>124305</v>
      </c>
      <c r="C54" s="35" t="s">
        <v>700</v>
      </c>
      <c r="D54" s="16">
        <v>145375.57999999999</v>
      </c>
      <c r="E54" s="17"/>
      <c r="F54" s="17"/>
      <c r="G54" s="17"/>
      <c r="H54" s="157">
        <f>depreciações!O23</f>
        <v>117683.61000000002</v>
      </c>
      <c r="I54" s="157">
        <f>baixas!O44</f>
        <v>0</v>
      </c>
      <c r="J54" s="17">
        <f t="shared" si="3"/>
        <v>263059.19</v>
      </c>
      <c r="K54" s="18">
        <f>VLOOKUP(B54,'Balancete Contab. 12 2020'!A:G,7,0)+J54</f>
        <v>0</v>
      </c>
    </row>
    <row r="55" spans="2:11" ht="15" x14ac:dyDescent="0.25">
      <c r="B55" s="19">
        <v>124306</v>
      </c>
      <c r="C55" s="35" t="s">
        <v>773</v>
      </c>
      <c r="D55" s="16">
        <v>6.3500000000000005</v>
      </c>
      <c r="E55" s="17"/>
      <c r="F55" s="17"/>
      <c r="G55" s="17"/>
      <c r="H55" s="157">
        <f>VLOOKUP(B55,depreciações!A:O,15,0)</f>
        <v>491.15</v>
      </c>
      <c r="I55" s="157"/>
      <c r="J55" s="17">
        <f t="shared" ref="J55:J61" si="4">D55+H55-I55</f>
        <v>497.5</v>
      </c>
      <c r="K55" s="18">
        <f>VLOOKUP(B55,'Balancete Contab. 12 2020'!A:G,7,0)+J55</f>
        <v>0</v>
      </c>
    </row>
    <row r="56" spans="2:11" ht="15" x14ac:dyDescent="0.25">
      <c r="B56" s="19">
        <v>124308</v>
      </c>
      <c r="C56" s="35" t="s">
        <v>774</v>
      </c>
      <c r="D56" s="16">
        <v>-5.63</v>
      </c>
      <c r="E56" s="17"/>
      <c r="F56" s="17">
        <f>'participações CSC Alfa'!O51</f>
        <v>-0.09</v>
      </c>
      <c r="G56" s="17"/>
      <c r="H56" s="157">
        <f>VLOOKUP(B56,depreciações!A:O,15,0)</f>
        <v>-395.66000000000008</v>
      </c>
      <c r="I56" s="157"/>
      <c r="J56" s="17">
        <f>D56+H56-I56-F56</f>
        <v>-401.2000000000001</v>
      </c>
      <c r="K56" s="18">
        <f>VLOOKUP(B56,'Balancete Contab. 12 2020'!A:G,7,0)+J56</f>
        <v>0</v>
      </c>
    </row>
    <row r="57" spans="2:11" ht="15" x14ac:dyDescent="0.25">
      <c r="B57" s="19">
        <v>124316</v>
      </c>
      <c r="C57" s="35" t="s">
        <v>775</v>
      </c>
      <c r="D57" s="16">
        <v>4.8000000000000007</v>
      </c>
      <c r="E57" s="17"/>
      <c r="F57" s="17"/>
      <c r="G57" s="17"/>
      <c r="H57" s="157">
        <f>VLOOKUP(B57,depreciações!A:O,15,0)</f>
        <v>19.2</v>
      </c>
      <c r="I57" s="157"/>
      <c r="J57" s="17">
        <f t="shared" si="4"/>
        <v>24</v>
      </c>
      <c r="K57" s="18">
        <f>VLOOKUP(B57,'Balancete Contab. 12 2020'!A:G,7,0)+J57</f>
        <v>0</v>
      </c>
    </row>
    <row r="58" spans="2:11" ht="15" x14ac:dyDescent="0.25">
      <c r="B58" s="19">
        <v>124318</v>
      </c>
      <c r="C58" s="35" t="s">
        <v>776</v>
      </c>
      <c r="D58" s="16">
        <v>-4.26</v>
      </c>
      <c r="E58" s="17"/>
      <c r="F58" s="17">
        <f>'participações CSC Alfa'!O53</f>
        <v>-0.06</v>
      </c>
      <c r="G58" s="17"/>
      <c r="H58" s="157">
        <f>VLOOKUP(B58,depreciações!A:O,15,0)</f>
        <v>-17</v>
      </c>
      <c r="I58" s="157"/>
      <c r="J58" s="17">
        <f>D58+H58-I58-F58</f>
        <v>-21.2</v>
      </c>
      <c r="K58" s="18">
        <f>VLOOKUP(B58,'Balancete Contab. 12 2020'!A:G,7,0)+J58</f>
        <v>0</v>
      </c>
    </row>
    <row r="59" spans="2:11" ht="15" x14ac:dyDescent="0.25">
      <c r="B59" s="19">
        <v>124321</v>
      </c>
      <c r="C59" s="35" t="s">
        <v>777</v>
      </c>
      <c r="D59" s="16">
        <v>21.39</v>
      </c>
      <c r="E59" s="17"/>
      <c r="F59" s="17"/>
      <c r="G59" s="17"/>
      <c r="H59" s="157">
        <f>VLOOKUP(B59,depreciações!A:O,15,0)</f>
        <v>1670.62</v>
      </c>
      <c r="I59" s="157"/>
      <c r="J59" s="17">
        <f t="shared" si="4"/>
        <v>1692.01</v>
      </c>
      <c r="K59" s="18">
        <f>VLOOKUP(B59,'Balancete Contab. 12 2020'!A:G,7,0)+J59</f>
        <v>0</v>
      </c>
    </row>
    <row r="60" spans="2:11" ht="15" x14ac:dyDescent="0.25">
      <c r="B60" s="19">
        <v>124323</v>
      </c>
      <c r="C60" s="35" t="s">
        <v>778</v>
      </c>
      <c r="D60" s="16">
        <v>-18.990000000000002</v>
      </c>
      <c r="E60" s="17"/>
      <c r="F60" s="17">
        <f>'participações CSC Alfa'!O55</f>
        <v>-0.3</v>
      </c>
      <c r="G60" s="17"/>
      <c r="H60" s="157">
        <f>VLOOKUP(B60,depreciações!A:O,15,0)</f>
        <v>-1345.56</v>
      </c>
      <c r="I60" s="157"/>
      <c r="J60" s="17">
        <f>D60+H60-I60-F60</f>
        <v>-1364.25</v>
      </c>
      <c r="K60" s="18">
        <f>VLOOKUP(B60,'Balancete Contab. 12 2020'!A:G,7,0)+J60</f>
        <v>0</v>
      </c>
    </row>
    <row r="61" spans="2:11" ht="15" x14ac:dyDescent="0.25">
      <c r="B61" s="19">
        <v>124326</v>
      </c>
      <c r="C61" s="35" t="s">
        <v>779</v>
      </c>
      <c r="D61" s="16">
        <v>5.57</v>
      </c>
      <c r="E61" s="17"/>
      <c r="F61" s="17"/>
      <c r="G61" s="17"/>
      <c r="H61" s="157">
        <f>VLOOKUP(B61,depreciações!A:O,15,0)</f>
        <v>916.54</v>
      </c>
      <c r="I61" s="157"/>
      <c r="J61" s="17">
        <f t="shared" si="4"/>
        <v>922.11</v>
      </c>
      <c r="K61" s="18">
        <f>VLOOKUP(B61,'Balancete Contab. 12 2020'!A:G,7,0)+J61</f>
        <v>0</v>
      </c>
    </row>
    <row r="62" spans="2:11" ht="15" x14ac:dyDescent="0.25">
      <c r="B62" s="19">
        <v>124328</v>
      </c>
      <c r="C62" s="35" t="s">
        <v>780</v>
      </c>
      <c r="D62" s="16">
        <v>-4.9399999999999995</v>
      </c>
      <c r="E62" s="17"/>
      <c r="F62" s="17">
        <f>'participações CSC Alfa'!O57</f>
        <v>-0.09</v>
      </c>
      <c r="G62" s="17"/>
      <c r="H62" s="157">
        <f>VLOOKUP(B62,depreciações!A:O,15,0)</f>
        <v>-736.09</v>
      </c>
      <c r="I62" s="157"/>
      <c r="J62" s="17">
        <f>D62+H62-I62-F62</f>
        <v>-740.94</v>
      </c>
      <c r="K62" s="18">
        <f>VLOOKUP(B62,'Balancete Contab. 12 2020'!A:G,7,0)+J62</f>
        <v>0</v>
      </c>
    </row>
    <row r="63" spans="2:11" ht="15" x14ac:dyDescent="0.25">
      <c r="B63" s="19">
        <v>124315</v>
      </c>
      <c r="C63" s="35" t="s">
        <v>701</v>
      </c>
      <c r="D63" s="16">
        <v>14383.999999999998</v>
      </c>
      <c r="E63" s="17"/>
      <c r="F63" s="17"/>
      <c r="G63" s="17"/>
      <c r="H63" s="157">
        <f>depreciações!O33</f>
        <v>12458.32</v>
      </c>
      <c r="I63" s="157">
        <f>baixas!O45</f>
        <v>0</v>
      </c>
      <c r="J63" s="17">
        <f t="shared" si="3"/>
        <v>26842.32</v>
      </c>
      <c r="K63" s="18">
        <f>VLOOKUP(B63,'Balancete Contab. 12 2020'!A:G,7,0)+J63</f>
        <v>0</v>
      </c>
    </row>
    <row r="64" spans="2:11" ht="15" x14ac:dyDescent="0.25">
      <c r="B64" s="19">
        <v>124320</v>
      </c>
      <c r="C64" s="35" t="s">
        <v>702</v>
      </c>
      <c r="D64" s="16">
        <v>73321.290000000008</v>
      </c>
      <c r="E64" s="17"/>
      <c r="F64" s="17"/>
      <c r="G64" s="17"/>
      <c r="H64" s="157">
        <f>depreciações!O34</f>
        <v>61905.189999999995</v>
      </c>
      <c r="I64" s="157">
        <f>baixas!O46</f>
        <v>0</v>
      </c>
      <c r="J64" s="17">
        <f t="shared" si="3"/>
        <v>135226.48000000001</v>
      </c>
      <c r="K64" s="18">
        <f>VLOOKUP(B64,'Balancete Contab. 12 2020'!A:G,7,0)+J64</f>
        <v>0</v>
      </c>
    </row>
    <row r="65" spans="2:11" ht="15" x14ac:dyDescent="0.25">
      <c r="B65" s="19">
        <v>124325</v>
      </c>
      <c r="C65" s="35" t="s">
        <v>703</v>
      </c>
      <c r="D65" s="16">
        <v>45795.17</v>
      </c>
      <c r="E65" s="17"/>
      <c r="F65" s="17"/>
      <c r="G65" s="17"/>
      <c r="H65" s="157">
        <f>depreciações!O35</f>
        <v>38209.65</v>
      </c>
      <c r="I65" s="157">
        <f>baixas!O47</f>
        <v>0</v>
      </c>
      <c r="J65" s="17">
        <f t="shared" si="3"/>
        <v>84004.82</v>
      </c>
      <c r="K65" s="18">
        <f>VLOOKUP(B65,'Balancete Contab. 12 2020'!A:G,7,0)+J65</f>
        <v>0</v>
      </c>
    </row>
    <row r="66" spans="2:11" ht="15" x14ac:dyDescent="0.25">
      <c r="B66" s="19">
        <v>124330</v>
      </c>
      <c r="C66" s="35" t="s">
        <v>704</v>
      </c>
      <c r="D66" s="16">
        <v>25987.869999999981</v>
      </c>
      <c r="E66" s="17"/>
      <c r="F66" s="17"/>
      <c r="G66" s="17"/>
      <c r="H66" s="157">
        <f>depreciações!O36</f>
        <v>0</v>
      </c>
      <c r="I66" s="157">
        <f>baixas!O48</f>
        <v>0</v>
      </c>
      <c r="J66" s="17">
        <f t="shared" si="3"/>
        <v>25987.869999999981</v>
      </c>
      <c r="K66" s="18">
        <f>VLOOKUP(B66,'Balancete Contab. 12 2020'!A:G,7,0)+J66</f>
        <v>0</v>
      </c>
    </row>
    <row r="67" spans="2:11" ht="15" x14ac:dyDescent="0.25">
      <c r="B67" s="19"/>
      <c r="C67" s="35"/>
      <c r="D67" s="16"/>
      <c r="E67" s="17"/>
      <c r="F67" s="17"/>
      <c r="G67" s="17"/>
      <c r="H67" s="157"/>
      <c r="I67" s="157"/>
      <c r="J67" s="17"/>
      <c r="K67" s="18"/>
    </row>
    <row r="68" spans="2:11" ht="15" x14ac:dyDescent="0.25">
      <c r="B68" s="19">
        <v>124810</v>
      </c>
      <c r="C68" s="50" t="s">
        <v>764</v>
      </c>
      <c r="D68" s="16">
        <v>5762903.21</v>
      </c>
      <c r="E68" s="17"/>
      <c r="F68" s="17"/>
      <c r="G68" s="17"/>
      <c r="H68" s="159">
        <f>VLOOKUP(B68,depreciações!A:O,15,FALSE)</f>
        <v>5801923.419999999</v>
      </c>
      <c r="I68" s="157"/>
      <c r="J68" s="17">
        <f t="shared" si="3"/>
        <v>11564826.629999999</v>
      </c>
      <c r="K68" s="18">
        <v>0</v>
      </c>
    </row>
    <row r="69" spans="2:11" ht="15" x14ac:dyDescent="0.25">
      <c r="B69" s="19">
        <v>124820</v>
      </c>
      <c r="C69" s="50" t="s">
        <v>765</v>
      </c>
      <c r="D69" s="16">
        <v>15826.469999999998</v>
      </c>
      <c r="E69" s="17"/>
      <c r="F69" s="17"/>
      <c r="G69" s="17"/>
      <c r="H69" s="157">
        <f>depreciações!O39</f>
        <v>63306.47</v>
      </c>
      <c r="I69" s="157"/>
      <c r="J69" s="17">
        <f t="shared" si="3"/>
        <v>79132.94</v>
      </c>
      <c r="K69" s="18">
        <f>VLOOKUP(B69,'Balancete Contab. 12 2020'!A:G,7,0)+J69</f>
        <v>0</v>
      </c>
    </row>
    <row r="70" spans="2:11" ht="15" x14ac:dyDescent="0.25">
      <c r="B70" s="19">
        <v>124890</v>
      </c>
      <c r="C70" s="51" t="s">
        <v>785</v>
      </c>
      <c r="D70" s="16">
        <v>5747076.7400000002</v>
      </c>
      <c r="E70" s="17"/>
      <c r="F70" s="17"/>
      <c r="G70" s="17"/>
      <c r="H70" s="157">
        <f>depreciações!O40</f>
        <v>5738616.9500000002</v>
      </c>
      <c r="I70" s="157"/>
      <c r="J70" s="17">
        <f t="shared" si="3"/>
        <v>11485693.690000001</v>
      </c>
      <c r="K70" s="18">
        <f>VLOOKUP(B70,'Balancete Contab. 12 2020'!A:G,7,0)+J70</f>
        <v>0</v>
      </c>
    </row>
    <row r="71" spans="2:11" x14ac:dyDescent="0.2">
      <c r="B71" s="19"/>
      <c r="C71" s="20"/>
      <c r="D71" s="16"/>
      <c r="E71" s="17"/>
      <c r="F71" s="17"/>
      <c r="G71" s="17"/>
      <c r="H71" s="157"/>
      <c r="I71" s="157"/>
      <c r="J71" s="17"/>
      <c r="K71" s="18"/>
    </row>
    <row r="72" spans="2:11" ht="15.75" thickBot="1" x14ac:dyDescent="0.3">
      <c r="B72" s="21">
        <v>125450</v>
      </c>
      <c r="C72" s="21" t="s">
        <v>27</v>
      </c>
      <c r="D72" s="22">
        <v>365638.33999999962</v>
      </c>
      <c r="E72" s="22">
        <f>adições!O36</f>
        <v>2047079.49</v>
      </c>
      <c r="F72" s="22">
        <f>SUM(F73:F89)</f>
        <v>-94236.6</v>
      </c>
      <c r="G72" s="22">
        <f>'tranf. proj'!O29</f>
        <v>-1149193.82</v>
      </c>
      <c r="H72" s="79"/>
      <c r="I72" s="79">
        <f>baixas!O51</f>
        <v>-7482</v>
      </c>
      <c r="J72" s="22">
        <f>SUM(D72:I72)</f>
        <v>1161805.4099999995</v>
      </c>
      <c r="K72" s="23">
        <f>VLOOKUP(B72,'Balancete Contab. 12 2020'!A:G,7,0)-J72</f>
        <v>0</v>
      </c>
    </row>
    <row r="73" spans="2:11" ht="13.5" thickTop="1" x14ac:dyDescent="0.2">
      <c r="B73" s="19">
        <v>125501</v>
      </c>
      <c r="C73" s="20" t="s">
        <v>28</v>
      </c>
      <c r="D73" s="16">
        <v>72140.72</v>
      </c>
      <c r="E73" s="17">
        <f>VLOOKUP(B73,adições!A:O,15,0)</f>
        <v>0</v>
      </c>
      <c r="F73" s="17">
        <v>0</v>
      </c>
      <c r="G73" s="17">
        <f>VLOOKUP(B73,'tranf. proj'!A:O,15,0)</f>
        <v>-72140.72</v>
      </c>
      <c r="H73" s="157">
        <v>0</v>
      </c>
      <c r="I73" s="17">
        <v>0</v>
      </c>
      <c r="J73" s="17">
        <f>D73+G73</f>
        <v>0</v>
      </c>
      <c r="K73" s="18">
        <f>VLOOKUP(B73,'Balancete Contab. 12 2020'!A:G,7,0)-J73</f>
        <v>0</v>
      </c>
    </row>
    <row r="74" spans="2:11" x14ac:dyDescent="0.2">
      <c r="B74" s="19">
        <v>125502</v>
      </c>
      <c r="C74" s="20" t="s">
        <v>29</v>
      </c>
      <c r="D74" s="16">
        <v>51444.91</v>
      </c>
      <c r="E74" s="17">
        <f>VLOOKUP(B74,adições!A:O,15,0)</f>
        <v>0</v>
      </c>
      <c r="F74" s="17">
        <v>0</v>
      </c>
      <c r="G74" s="17">
        <f>VLOOKUP(B74,'tranf. proj'!A:O,15,0)</f>
        <v>-51444.91</v>
      </c>
      <c r="H74" s="157">
        <v>0</v>
      </c>
      <c r="I74" s="17">
        <v>0</v>
      </c>
      <c r="J74" s="17">
        <f t="shared" ref="J74:J77" si="5">D74+G74</f>
        <v>0</v>
      </c>
      <c r="K74" s="18">
        <f>VLOOKUP(B74,'Balancete Contab. 12 2020'!A:G,7,0)-J74</f>
        <v>0</v>
      </c>
    </row>
    <row r="75" spans="2:11" x14ac:dyDescent="0.2">
      <c r="B75" s="19">
        <v>125503</v>
      </c>
      <c r="C75" s="20" t="s">
        <v>30</v>
      </c>
      <c r="D75" s="16">
        <v>6415.25</v>
      </c>
      <c r="E75" s="17">
        <f>VLOOKUP(B75,adições!A:O,15,0)</f>
        <v>0</v>
      </c>
      <c r="F75" s="17">
        <v>0</v>
      </c>
      <c r="G75" s="17">
        <f>VLOOKUP(B75,'tranf. proj'!A:O,15,0)</f>
        <v>-6415.25</v>
      </c>
      <c r="H75" s="157">
        <v>0</v>
      </c>
      <c r="I75" s="17">
        <v>0</v>
      </c>
      <c r="J75" s="17">
        <f t="shared" si="5"/>
        <v>0</v>
      </c>
      <c r="K75" s="18">
        <f>VLOOKUP(B75,'Balancete Contab. 12 2020'!A:G,7,0)-J75</f>
        <v>0</v>
      </c>
    </row>
    <row r="76" spans="2:11" x14ac:dyDescent="0.2">
      <c r="B76" s="19">
        <v>125504</v>
      </c>
      <c r="C76" s="20" t="s">
        <v>31</v>
      </c>
      <c r="D76" s="16">
        <v>19934.400000000001</v>
      </c>
      <c r="E76" s="17">
        <f>VLOOKUP(B76,adições!A:O,15,0)</f>
        <v>0</v>
      </c>
      <c r="F76" s="17">
        <v>0</v>
      </c>
      <c r="G76" s="17">
        <f>VLOOKUP(B76,'tranf. proj'!A:O,15,0)</f>
        <v>-19934.400000000001</v>
      </c>
      <c r="H76" s="157">
        <v>0</v>
      </c>
      <c r="I76" s="17">
        <v>0</v>
      </c>
      <c r="J76" s="17">
        <f t="shared" si="5"/>
        <v>0</v>
      </c>
      <c r="K76" s="18">
        <f>VLOOKUP(B76,'Balancete Contab. 12 2020'!A:G,7,0)-J76</f>
        <v>0</v>
      </c>
    </row>
    <row r="77" spans="2:11" x14ac:dyDescent="0.2">
      <c r="B77" s="19">
        <v>125505</v>
      </c>
      <c r="C77" s="20" t="s">
        <v>32</v>
      </c>
      <c r="D77" s="16">
        <v>53877.029999999984</v>
      </c>
      <c r="E77" s="17">
        <f>VLOOKUP(B77,adições!A:O,15,0)</f>
        <v>0</v>
      </c>
      <c r="F77" s="17">
        <v>0</v>
      </c>
      <c r="G77" s="17">
        <f>VLOOKUP(B77,'tranf. proj'!A:O,15,0)</f>
        <v>-53877.03</v>
      </c>
      <c r="H77" s="157">
        <v>0</v>
      </c>
      <c r="I77" s="17">
        <f>VLOOKUP(B77,baixas!A:O,15,0)</f>
        <v>0</v>
      </c>
      <c r="J77" s="17">
        <f t="shared" si="5"/>
        <v>0</v>
      </c>
      <c r="K77" s="18">
        <f>VLOOKUP(B77,'Balancete Contab. 12 2020'!A:G,7,0)-J77</f>
        <v>0</v>
      </c>
    </row>
    <row r="78" spans="2:11" x14ac:dyDescent="0.2">
      <c r="B78" s="19">
        <v>125506</v>
      </c>
      <c r="C78" s="20" t="s">
        <v>33</v>
      </c>
      <c r="D78" s="16">
        <v>0</v>
      </c>
      <c r="E78" s="17">
        <v>0</v>
      </c>
      <c r="F78" s="17">
        <v>0</v>
      </c>
      <c r="G78" s="17">
        <f>VLOOKUP(B78,'tranf. proj'!A:O,15,0)</f>
        <v>0</v>
      </c>
      <c r="H78" s="157">
        <v>0</v>
      </c>
      <c r="I78" s="17">
        <v>0</v>
      </c>
      <c r="J78" s="17">
        <f t="shared" ref="J78" si="6">D78+E78-G78</f>
        <v>0</v>
      </c>
      <c r="K78" s="18">
        <v>0</v>
      </c>
    </row>
    <row r="79" spans="2:11" x14ac:dyDescent="0.2">
      <c r="B79" s="19">
        <v>125507</v>
      </c>
      <c r="C79" s="20" t="s">
        <v>34</v>
      </c>
      <c r="D79" s="16">
        <v>0</v>
      </c>
      <c r="E79" s="17">
        <f>VLOOKUP(B79,adições!A:O,15,0)</f>
        <v>0</v>
      </c>
      <c r="F79" s="17">
        <v>0</v>
      </c>
      <c r="G79" s="17">
        <f>VLOOKUP(B79,'tranf. proj'!A:O,15,0)</f>
        <v>0</v>
      </c>
      <c r="H79" s="157">
        <v>0</v>
      </c>
      <c r="I79" s="17">
        <v>0</v>
      </c>
      <c r="J79" s="17">
        <f t="shared" ref="J79:J93" si="7">SUM(D79:I79)</f>
        <v>0</v>
      </c>
      <c r="K79" s="18">
        <v>0</v>
      </c>
    </row>
    <row r="80" spans="2:11" x14ac:dyDescent="0.2">
      <c r="B80" s="19">
        <v>125508</v>
      </c>
      <c r="C80" s="20" t="s">
        <v>35</v>
      </c>
      <c r="D80" s="16">
        <v>0</v>
      </c>
      <c r="E80" s="17">
        <f>VLOOKUP(B80,adições!A:O,15,0)</f>
        <v>0</v>
      </c>
      <c r="F80" s="17">
        <v>0</v>
      </c>
      <c r="G80" s="17">
        <f>VLOOKUP(B80,'tranf. proj'!A:O,15,0)</f>
        <v>0</v>
      </c>
      <c r="H80" s="157">
        <v>0</v>
      </c>
      <c r="I80" s="17">
        <v>0</v>
      </c>
      <c r="J80" s="17">
        <f t="shared" si="7"/>
        <v>0</v>
      </c>
      <c r="K80" s="18"/>
    </row>
    <row r="81" spans="2:11" x14ac:dyDescent="0.2">
      <c r="B81" s="19">
        <v>125509</v>
      </c>
      <c r="C81" s="20" t="s">
        <v>64</v>
      </c>
      <c r="D81" s="16">
        <v>0</v>
      </c>
      <c r="E81" s="17">
        <f>VLOOKUP(B81,adições!A:O,15,0)</f>
        <v>0</v>
      </c>
      <c r="F81" s="17">
        <v>0</v>
      </c>
      <c r="G81" s="17">
        <f>VLOOKUP(B81,'tranf. proj'!A:O,15,0)</f>
        <v>0</v>
      </c>
      <c r="H81" s="157">
        <v>0</v>
      </c>
      <c r="I81" s="17">
        <v>0</v>
      </c>
      <c r="J81" s="17">
        <f t="shared" si="7"/>
        <v>0</v>
      </c>
      <c r="K81" s="18">
        <v>0</v>
      </c>
    </row>
    <row r="82" spans="2:11" x14ac:dyDescent="0.2">
      <c r="B82" s="19">
        <v>125510</v>
      </c>
      <c r="C82" s="20" t="s">
        <v>65</v>
      </c>
      <c r="D82" s="16">
        <v>0</v>
      </c>
      <c r="E82" s="17">
        <f>VLOOKUP(B82,adições!A:O,15,0)</f>
        <v>0</v>
      </c>
      <c r="F82" s="17">
        <v>0</v>
      </c>
      <c r="G82" s="17">
        <f>VLOOKUP(B82,'tranf. proj'!A:O,15,0)</f>
        <v>0</v>
      </c>
      <c r="H82" s="157">
        <v>0</v>
      </c>
      <c r="I82" s="17">
        <v>0</v>
      </c>
      <c r="J82" s="17">
        <f t="shared" si="7"/>
        <v>0</v>
      </c>
      <c r="K82" s="18">
        <v>0</v>
      </c>
    </row>
    <row r="83" spans="2:11" x14ac:dyDescent="0.2">
      <c r="B83" s="19">
        <v>125511</v>
      </c>
      <c r="C83" s="20" t="s">
        <v>259</v>
      </c>
      <c r="D83" s="16">
        <v>0</v>
      </c>
      <c r="E83" s="17">
        <f>VLOOKUP(B83,adições!A:O,15,0)</f>
        <v>0</v>
      </c>
      <c r="F83" s="17">
        <v>0</v>
      </c>
      <c r="G83" s="17">
        <f>VLOOKUP(B83,'tranf. proj'!A:O,15,0)</f>
        <v>0</v>
      </c>
      <c r="H83" s="157">
        <v>0</v>
      </c>
      <c r="I83" s="17">
        <v>0</v>
      </c>
      <c r="J83" s="17">
        <f t="shared" si="7"/>
        <v>0</v>
      </c>
      <c r="K83" s="18">
        <v>0</v>
      </c>
    </row>
    <row r="84" spans="2:11" x14ac:dyDescent="0.2">
      <c r="B84" s="19">
        <v>125512</v>
      </c>
      <c r="C84" s="20" t="s">
        <v>681</v>
      </c>
      <c r="D84" s="16">
        <v>111007.84000000001</v>
      </c>
      <c r="E84" s="17">
        <f>VLOOKUP(B84,adições!A:O,15,0)</f>
        <v>120435.17</v>
      </c>
      <c r="F84" s="17">
        <v>0</v>
      </c>
      <c r="G84" s="17">
        <f>VLOOKUP(B84,'tranf. proj'!A:O,15,0)</f>
        <v>-231443.01</v>
      </c>
      <c r="H84" s="157">
        <v>0</v>
      </c>
      <c r="I84" s="17">
        <v>0</v>
      </c>
      <c r="J84" s="17">
        <f t="shared" si="7"/>
        <v>0</v>
      </c>
      <c r="K84" s="18">
        <v>0</v>
      </c>
    </row>
    <row r="85" spans="2:11" x14ac:dyDescent="0.2">
      <c r="B85" s="19">
        <v>125513</v>
      </c>
      <c r="C85" s="20" t="s">
        <v>722</v>
      </c>
      <c r="D85" s="16">
        <v>43599.87</v>
      </c>
      <c r="E85" s="17">
        <f>VLOOKUP(B85,adições!A:O,15,0)</f>
        <v>0</v>
      </c>
      <c r="F85" s="17">
        <v>0</v>
      </c>
      <c r="G85" s="17">
        <f>VLOOKUP(B85,'tranf. proj'!A:O,15,0)</f>
        <v>-43599.87</v>
      </c>
      <c r="H85" s="157">
        <v>0</v>
      </c>
      <c r="I85" s="17">
        <v>0</v>
      </c>
      <c r="J85" s="17">
        <f t="shared" si="7"/>
        <v>0</v>
      </c>
      <c r="K85" s="18">
        <v>0</v>
      </c>
    </row>
    <row r="86" spans="2:11" x14ac:dyDescent="0.2">
      <c r="B86" s="19">
        <v>125514</v>
      </c>
      <c r="C86" s="20" t="s">
        <v>790</v>
      </c>
      <c r="D86" s="16">
        <v>7218.32</v>
      </c>
      <c r="E86" s="17">
        <f>VLOOKUP(B86,adições!A:O,15,0)</f>
        <v>0</v>
      </c>
      <c r="F86" s="17">
        <v>0</v>
      </c>
      <c r="G86" s="17">
        <f>'tranf. proj'!O46</f>
        <v>-7218.32</v>
      </c>
      <c r="H86" s="157">
        <v>0</v>
      </c>
      <c r="I86" s="17">
        <v>0</v>
      </c>
      <c r="J86" s="17">
        <f t="shared" si="7"/>
        <v>0</v>
      </c>
      <c r="K86" s="18">
        <f>VLOOKUP(B86,'Balancete Contab. 12 2020'!A:G,7,0)-J86</f>
        <v>0</v>
      </c>
    </row>
    <row r="87" spans="2:11" x14ac:dyDescent="0.2">
      <c r="B87" s="19">
        <v>125515</v>
      </c>
      <c r="C87" s="20" t="s">
        <v>869</v>
      </c>
      <c r="D87" s="16">
        <v>0</v>
      </c>
      <c r="E87" s="17">
        <f>VLOOKUP(B87,adições!A:O,15,0)</f>
        <v>663943.20000000019</v>
      </c>
      <c r="F87" s="17">
        <f>'participações CSC Alfa'!O63</f>
        <v>-94236.6</v>
      </c>
      <c r="G87" s="17"/>
      <c r="H87" s="157"/>
      <c r="I87" s="17"/>
      <c r="J87" s="17">
        <f t="shared" si="7"/>
        <v>569706.60000000021</v>
      </c>
      <c r="K87" s="69">
        <f>VLOOKUP(B87,'Balancete Contab. 12 2020'!A:G,7,0)-J87</f>
        <v>0</v>
      </c>
    </row>
    <row r="88" spans="2:11" x14ac:dyDescent="0.2">
      <c r="B88" s="19">
        <v>125516</v>
      </c>
      <c r="C88" s="78" t="s">
        <v>879</v>
      </c>
      <c r="D88" s="16">
        <v>0</v>
      </c>
      <c r="E88" s="17">
        <f>VLOOKUP(B88,adições!A:O,15,0)</f>
        <v>476101.71</v>
      </c>
      <c r="F88" s="17"/>
      <c r="G88" s="17">
        <f>'tranf. proj'!O48</f>
        <v>-468619.71</v>
      </c>
      <c r="H88" s="157"/>
      <c r="I88" s="157">
        <f>baixas!O53</f>
        <v>-7482</v>
      </c>
      <c r="J88" s="17">
        <f t="shared" si="7"/>
        <v>0</v>
      </c>
      <c r="K88" s="69"/>
    </row>
    <row r="89" spans="2:11" x14ac:dyDescent="0.2">
      <c r="B89" s="107">
        <v>125517</v>
      </c>
      <c r="C89" s="106" t="s">
        <v>971</v>
      </c>
      <c r="D89" s="16">
        <v>0</v>
      </c>
      <c r="E89" s="17">
        <f>VLOOKUP(B89,adições!A:O,15,0)</f>
        <v>159937.33000000002</v>
      </c>
      <c r="F89" s="17"/>
      <c r="G89" s="17">
        <f>'tranf. proj'!O49</f>
        <v>-159937.32999999999</v>
      </c>
      <c r="H89" s="157"/>
      <c r="I89" s="17"/>
      <c r="J89" s="17">
        <f t="shared" si="7"/>
        <v>0</v>
      </c>
      <c r="K89" s="69">
        <f>VLOOKUP(B89,'Balancete Contab. 12 2020'!A:G,7,0)-J89</f>
        <v>0</v>
      </c>
    </row>
    <row r="90" spans="2:11" x14ac:dyDescent="0.2">
      <c r="B90" s="107">
        <v>125518</v>
      </c>
      <c r="C90" s="106" t="s">
        <v>972</v>
      </c>
      <c r="D90" s="16">
        <v>0</v>
      </c>
      <c r="E90" s="17">
        <f>VLOOKUP(B90,adições!A:O,15,0)</f>
        <v>570814.40999999992</v>
      </c>
      <c r="F90" s="17"/>
      <c r="G90" s="17"/>
      <c r="H90" s="157"/>
      <c r="I90" s="17"/>
      <c r="J90" s="17">
        <f t="shared" si="7"/>
        <v>570814.40999999992</v>
      </c>
      <c r="K90" s="69">
        <f>VLOOKUP(B90,'Balancete Contab. 12 2020'!A:G,7,0)-J90</f>
        <v>0</v>
      </c>
    </row>
    <row r="91" spans="2:11" x14ac:dyDescent="0.2">
      <c r="B91" s="115">
        <v>125519</v>
      </c>
      <c r="C91" s="27" t="s">
        <v>1040</v>
      </c>
      <c r="D91" s="116"/>
      <c r="E91" s="17">
        <f>VLOOKUP(B91,adições!A:O,15,0)</f>
        <v>16284.400000000001</v>
      </c>
      <c r="F91" s="17"/>
      <c r="G91" s="17"/>
      <c r="H91" s="157"/>
      <c r="I91" s="17"/>
      <c r="J91" s="17">
        <f t="shared" si="7"/>
        <v>16284.400000000001</v>
      </c>
      <c r="K91" s="69"/>
    </row>
    <row r="92" spans="2:11" x14ac:dyDescent="0.2">
      <c r="B92" s="107">
        <v>125520</v>
      </c>
      <c r="C92" s="106" t="s">
        <v>984</v>
      </c>
      <c r="D92" s="16">
        <v>0</v>
      </c>
      <c r="E92" s="17">
        <f>VLOOKUP(B92,adições!A:O,15,0)</f>
        <v>34563.269999999997</v>
      </c>
      <c r="F92" s="17"/>
      <c r="G92" s="17">
        <f>'tranf. proj'!O52</f>
        <v>-34563.269999999997</v>
      </c>
      <c r="H92" s="157"/>
      <c r="I92" s="17"/>
      <c r="J92" s="17">
        <f t="shared" si="7"/>
        <v>0</v>
      </c>
      <c r="K92" s="69">
        <f>VLOOKUP(B92,'Balancete Contab. 12 2020'!A:G,7,0)-J92</f>
        <v>0</v>
      </c>
    </row>
    <row r="93" spans="2:11" x14ac:dyDescent="0.2">
      <c r="B93" s="153">
        <v>125521</v>
      </c>
      <c r="C93" s="145" t="s">
        <v>1242</v>
      </c>
      <c r="D93" s="16">
        <v>0</v>
      </c>
      <c r="E93" s="17">
        <f>VLOOKUP(B93,adições!A:O,15,0)</f>
        <v>5000</v>
      </c>
      <c r="F93" s="17"/>
      <c r="G93" s="17"/>
      <c r="H93" s="157"/>
      <c r="I93" s="17"/>
      <c r="J93" s="17">
        <f t="shared" si="7"/>
        <v>5000</v>
      </c>
      <c r="K93" s="69">
        <f>VLOOKUP(B93,'Balancete Contab. 12 2020'!A:G,7,0)-J93</f>
        <v>0</v>
      </c>
    </row>
    <row r="94" spans="2:11" x14ac:dyDescent="0.2">
      <c r="B94" s="19"/>
      <c r="C94" s="20"/>
      <c r="D94" s="16"/>
      <c r="E94" s="17"/>
      <c r="F94" s="17"/>
      <c r="G94" s="17"/>
      <c r="H94" s="157"/>
      <c r="I94" s="17"/>
      <c r="J94" s="17"/>
      <c r="K94" s="18"/>
    </row>
    <row r="95" spans="2:11" ht="15.75" thickBot="1" x14ac:dyDescent="0.3">
      <c r="B95" s="21">
        <v>135000</v>
      </c>
      <c r="C95" s="21" t="s">
        <v>723</v>
      </c>
      <c r="D95" s="22">
        <v>-265361.79000000004</v>
      </c>
      <c r="E95" s="22"/>
      <c r="F95" s="22">
        <f>F102</f>
        <v>0</v>
      </c>
      <c r="G95" s="22"/>
      <c r="H95" s="79">
        <f>depreciações!O42</f>
        <v>-41466.57019999998</v>
      </c>
      <c r="I95" s="22"/>
      <c r="J95" s="22">
        <f>D95+H95-I95-F95</f>
        <v>-306828.3602</v>
      </c>
      <c r="K95" s="23">
        <f>VLOOKUP(B95,'Balancete Contab. 12 2020'!A:G,7,0)+J95</f>
        <v>-2.0000000949949026E-4</v>
      </c>
    </row>
    <row r="96" spans="2:11" ht="15.75" thickTop="1" x14ac:dyDescent="0.25">
      <c r="B96" s="19">
        <v>135005</v>
      </c>
      <c r="C96" s="35" t="s">
        <v>685</v>
      </c>
      <c r="D96" s="16">
        <v>-4709780.51</v>
      </c>
      <c r="E96" s="17"/>
      <c r="F96" s="17"/>
      <c r="G96" s="17"/>
      <c r="H96" s="57">
        <f>depreciações!O43</f>
        <v>-320276.36</v>
      </c>
      <c r="I96" s="17"/>
      <c r="J96" s="17">
        <f t="shared" ref="J96:J101" si="8">D96+H96-I96</f>
        <v>-5030056.87</v>
      </c>
      <c r="K96" s="18">
        <f>VLOOKUP(B96,'Balancete Contab. 12 2020'!A:G,7,0)+J96</f>
        <v>0</v>
      </c>
    </row>
    <row r="97" spans="2:12" ht="15" x14ac:dyDescent="0.25">
      <c r="B97" s="19">
        <v>135010</v>
      </c>
      <c r="C97" s="35" t="s">
        <v>686</v>
      </c>
      <c r="D97" s="16">
        <v>2595254.85</v>
      </c>
      <c r="E97" s="17"/>
      <c r="F97" s="17"/>
      <c r="G97" s="17"/>
      <c r="H97" s="157">
        <f>depreciações!O44</f>
        <v>0</v>
      </c>
      <c r="I97" s="17"/>
      <c r="J97" s="17">
        <f>D97+H97-I97-F97</f>
        <v>2595254.85</v>
      </c>
      <c r="K97" s="18">
        <f>VLOOKUP(B97,'Balancete Contab. 12 2020'!A:G,7,0)+J97</f>
        <v>0</v>
      </c>
    </row>
    <row r="98" spans="2:12" ht="15" x14ac:dyDescent="0.25">
      <c r="B98" s="19">
        <v>135015</v>
      </c>
      <c r="C98" s="35" t="s">
        <v>689</v>
      </c>
      <c r="D98" s="16">
        <v>252287.42</v>
      </c>
      <c r="E98" s="17"/>
      <c r="F98" s="17"/>
      <c r="G98" s="17"/>
      <c r="H98" s="157">
        <f>depreciações!O45</f>
        <v>39984.509999999995</v>
      </c>
      <c r="I98" s="17"/>
      <c r="J98" s="17">
        <f t="shared" si="8"/>
        <v>292271.93</v>
      </c>
      <c r="K98" s="18">
        <f>VLOOKUP(B98,'Balancete Contab. 12 2020'!A:G,7,0)+J98</f>
        <v>0</v>
      </c>
    </row>
    <row r="99" spans="2:12" ht="15" x14ac:dyDescent="0.25">
      <c r="B99" s="19">
        <v>135020</v>
      </c>
      <c r="C99" s="35" t="s">
        <v>692</v>
      </c>
      <c r="D99" s="16">
        <v>567333.20000000007</v>
      </c>
      <c r="E99" s="17"/>
      <c r="F99" s="17"/>
      <c r="G99" s="17"/>
      <c r="H99" s="157">
        <f>depreciações!O46</f>
        <v>131374.91999999998</v>
      </c>
      <c r="I99" s="17"/>
      <c r="J99" s="17">
        <f t="shared" si="8"/>
        <v>698708.12000000011</v>
      </c>
      <c r="K99" s="18">
        <f>VLOOKUP(B99,'Balancete Contab. 12 2020'!A:G,7,0)+J99</f>
        <v>0</v>
      </c>
    </row>
    <row r="100" spans="2:12" ht="15" x14ac:dyDescent="0.25">
      <c r="B100" s="19">
        <v>135025</v>
      </c>
      <c r="C100" s="35" t="s">
        <v>705</v>
      </c>
      <c r="D100" s="16">
        <v>1164488.8799999999</v>
      </c>
      <c r="E100" s="17"/>
      <c r="F100" s="17"/>
      <c r="G100" s="17"/>
      <c r="H100" s="157">
        <f>depreciações!O47</f>
        <v>196442.35</v>
      </c>
      <c r="I100" s="17"/>
      <c r="J100" s="17">
        <f t="shared" si="8"/>
        <v>1360931.23</v>
      </c>
      <c r="K100" s="18">
        <f>VLOOKUP(B100,'Balancete Contab. 12 2020'!A:G,7,0)+J100</f>
        <v>0</v>
      </c>
    </row>
    <row r="101" spans="2:12" ht="15" x14ac:dyDescent="0.25">
      <c r="B101" s="19">
        <v>135030</v>
      </c>
      <c r="C101" s="35" t="s">
        <v>699</v>
      </c>
      <c r="D101" s="16">
        <v>-99010</v>
      </c>
      <c r="E101" s="17"/>
      <c r="F101" s="17"/>
      <c r="G101" s="17"/>
      <c r="H101" s="157">
        <f>depreciações!O48</f>
        <v>0</v>
      </c>
      <c r="I101" s="17"/>
      <c r="J101" s="17">
        <f t="shared" si="8"/>
        <v>-99010</v>
      </c>
      <c r="K101" s="18">
        <f>VLOOKUP(B101,'Balancete Contab. 12 2020'!A:G,7,0)+J101</f>
        <v>0</v>
      </c>
    </row>
    <row r="102" spans="2:12" ht="15" x14ac:dyDescent="0.25">
      <c r="B102" s="19">
        <v>135035</v>
      </c>
      <c r="C102" s="35" t="s">
        <v>706</v>
      </c>
      <c r="D102" s="16">
        <v>-2333.7600000000002</v>
      </c>
      <c r="E102" s="17"/>
      <c r="F102" s="17">
        <f>'participações CSC Alfa'!O72</f>
        <v>0</v>
      </c>
      <c r="G102" s="17"/>
      <c r="H102" s="157">
        <f>depreciações!O49</f>
        <v>0</v>
      </c>
      <c r="I102" s="17"/>
      <c r="J102" s="17">
        <f>D102+H102-I102-F102</f>
        <v>-2333.7600000000002</v>
      </c>
      <c r="K102" s="18">
        <f>VLOOKUP(B102,'Balancete Contab. 12 2020'!A:G,7,0)+J102</f>
        <v>0</v>
      </c>
    </row>
    <row r="103" spans="2:12" ht="15" x14ac:dyDescent="0.25">
      <c r="B103" s="19">
        <v>135040</v>
      </c>
      <c r="C103" s="35" t="s">
        <v>707</v>
      </c>
      <c r="D103" s="16">
        <v>-8448</v>
      </c>
      <c r="E103" s="17"/>
      <c r="F103" s="17"/>
      <c r="G103" s="17"/>
      <c r="H103" s="57">
        <f>depreciações!O50</f>
        <v>-22728.16808333333</v>
      </c>
      <c r="I103" s="17"/>
      <c r="J103" s="17">
        <f>D103+H103-I103-F103</f>
        <v>-31176.16808333333</v>
      </c>
      <c r="K103" s="18">
        <f>VLOOKUP(B103,'Balancete Contab. 12 2020'!A:G,7,0)+J103</f>
        <v>1.9166666679666378E-3</v>
      </c>
    </row>
    <row r="104" spans="2:12" ht="15" x14ac:dyDescent="0.25">
      <c r="B104" s="19">
        <v>135045</v>
      </c>
      <c r="C104" s="35" t="s">
        <v>708</v>
      </c>
      <c r="D104" s="16">
        <v>-17336.059999999998</v>
      </c>
      <c r="E104" s="17"/>
      <c r="F104" s="17"/>
      <c r="G104" s="17"/>
      <c r="H104" s="57">
        <f>depreciações!O51</f>
        <v>-47197.452274999996</v>
      </c>
      <c r="I104" s="17"/>
      <c r="J104" s="17">
        <f>D104+H104-I104-F104</f>
        <v>-64533.512274999994</v>
      </c>
      <c r="K104" s="18">
        <f>VLOOKUP(B104,'Balancete Contab. 12 2020'!A:G,7,0)+J104</f>
        <v>-2.2749999916413799E-3</v>
      </c>
    </row>
    <row r="105" spans="2:12" ht="15" x14ac:dyDescent="0.25">
      <c r="B105" s="19">
        <v>135050</v>
      </c>
      <c r="C105" s="35" t="s">
        <v>701</v>
      </c>
      <c r="D105" s="16">
        <v>-2410.19</v>
      </c>
      <c r="E105" s="17"/>
      <c r="F105" s="17"/>
      <c r="G105" s="17"/>
      <c r="H105" s="57">
        <f>depreciações!O52</f>
        <v>-4813.1757916666666</v>
      </c>
      <c r="I105" s="17"/>
      <c r="J105" s="17">
        <f>D105+H105-I105-F105</f>
        <v>-7223.3657916666671</v>
      </c>
      <c r="K105" s="18">
        <f>VLOOKUP(B105,'Balancete Contab. 12 2020'!A:G,7,0)+J105</f>
        <v>4.2083333328264416E-3</v>
      </c>
    </row>
    <row r="106" spans="2:12" ht="15" x14ac:dyDescent="0.25">
      <c r="B106" s="19">
        <v>135055</v>
      </c>
      <c r="C106" s="35" t="s">
        <v>703</v>
      </c>
      <c r="D106" s="16">
        <v>-5407.62</v>
      </c>
      <c r="E106" s="17"/>
      <c r="F106" s="17"/>
      <c r="G106" s="17"/>
      <c r="H106" s="57">
        <f>depreciações!O53</f>
        <v>-14253.19405</v>
      </c>
      <c r="I106" s="17"/>
      <c r="J106" s="17">
        <f>D106+H106-I106-F106</f>
        <v>-19660.814050000001</v>
      </c>
      <c r="K106" s="18">
        <f>VLOOKUP(B106,'Balancete Contab. 12 2020'!A:G,7,0)+J106</f>
        <v>-4.049999999551801E-3</v>
      </c>
    </row>
    <row r="107" spans="2:12" x14ac:dyDescent="0.2">
      <c r="B107" s="19"/>
      <c r="C107" s="20"/>
      <c r="D107" s="16"/>
      <c r="E107" s="17"/>
      <c r="F107" s="17"/>
      <c r="G107" s="17"/>
      <c r="H107" s="157"/>
      <c r="I107" s="17"/>
      <c r="J107" s="17"/>
      <c r="K107" s="18"/>
    </row>
    <row r="108" spans="2:12" x14ac:dyDescent="0.2">
      <c r="B108" s="19"/>
      <c r="C108" s="20"/>
      <c r="D108" s="16"/>
      <c r="E108" s="17"/>
      <c r="F108" s="17"/>
      <c r="G108" s="17"/>
      <c r="H108" s="157"/>
      <c r="I108" s="17"/>
      <c r="J108" s="17"/>
      <c r="K108" s="18"/>
    </row>
    <row r="109" spans="2:12" ht="15.75" thickBot="1" x14ac:dyDescent="0.3">
      <c r="B109" s="21">
        <v>138570</v>
      </c>
      <c r="C109" s="21" t="s">
        <v>42</v>
      </c>
      <c r="D109" s="22">
        <v>1362256.5099999979</v>
      </c>
      <c r="E109" s="22"/>
      <c r="F109" s="22"/>
      <c r="G109" s="22"/>
      <c r="H109" s="79"/>
      <c r="I109" s="22">
        <f>I116-I117</f>
        <v>0</v>
      </c>
      <c r="J109" s="22">
        <f>J116-J117-J124</f>
        <v>1362256.5099999942</v>
      </c>
      <c r="K109" s="70">
        <f>VLOOKUP(B109,'Balancete Contab. 12 2020'!A:G,7,0)-J109</f>
        <v>5.8207660913467407E-9</v>
      </c>
    </row>
    <row r="110" spans="2:12" ht="13.5" thickTop="1" x14ac:dyDescent="0.2">
      <c r="B110" s="19">
        <v>138710</v>
      </c>
      <c r="C110" s="20" t="s">
        <v>43</v>
      </c>
      <c r="D110" s="16">
        <v>18823804.25</v>
      </c>
      <c r="E110" s="17"/>
      <c r="F110" s="17"/>
      <c r="G110" s="17"/>
      <c r="H110" s="157"/>
      <c r="I110" s="17">
        <f>baixas!O64</f>
        <v>0</v>
      </c>
      <c r="J110" s="17">
        <f>D110+H110-I110</f>
        <v>18823804.25</v>
      </c>
      <c r="K110" s="18">
        <f>VLOOKUP(B110,'Balancete Contab. 12 2020'!A:G,7,0)-J110</f>
        <v>0</v>
      </c>
    </row>
    <row r="111" spans="2:12" s="2" customFormat="1" ht="15" x14ac:dyDescent="0.25">
      <c r="B111" s="34">
        <v>138720</v>
      </c>
      <c r="C111" s="35" t="s">
        <v>44</v>
      </c>
      <c r="D111" s="36">
        <v>4115193.56</v>
      </c>
      <c r="E111" s="36"/>
      <c r="F111" s="36"/>
      <c r="G111" s="36"/>
      <c r="H111" s="160"/>
      <c r="I111" s="36">
        <f>baixas!O65</f>
        <v>0</v>
      </c>
      <c r="J111" s="36">
        <f>D111+H111-I111</f>
        <v>4115193.56</v>
      </c>
      <c r="K111" s="37">
        <f>VLOOKUP(B111,'Balancete Contab. 12 2020'!A:G,7,0)-J111</f>
        <v>0</v>
      </c>
      <c r="L111" s="38"/>
    </row>
    <row r="112" spans="2:12" x14ac:dyDescent="0.2">
      <c r="B112" s="19">
        <v>138910</v>
      </c>
      <c r="C112" s="20" t="s">
        <v>45</v>
      </c>
      <c r="D112" s="16">
        <v>325159.36999999994</v>
      </c>
      <c r="E112" s="17"/>
      <c r="F112" s="17"/>
      <c r="G112" s="17"/>
      <c r="H112" s="157"/>
      <c r="I112" s="157">
        <f>baixas!O66</f>
        <v>1604.32</v>
      </c>
      <c r="J112" s="17">
        <f>D112+H112-I112</f>
        <v>323555.04999999993</v>
      </c>
      <c r="K112" s="18">
        <f>VLOOKUP(B112,'Balancete Contab. 12 2020'!A:G,7,0)-J112</f>
        <v>0</v>
      </c>
    </row>
    <row r="113" spans="2:11" x14ac:dyDescent="0.2">
      <c r="B113" s="19">
        <v>139010</v>
      </c>
      <c r="C113" s="20" t="s">
        <v>46</v>
      </c>
      <c r="D113" s="16">
        <v>56980.17</v>
      </c>
      <c r="E113" s="17"/>
      <c r="F113" s="17"/>
      <c r="G113" s="17"/>
      <c r="H113" s="157"/>
      <c r="I113" s="157">
        <f>baixas!O67</f>
        <v>39.51</v>
      </c>
      <c r="J113" s="17">
        <f>D113+H113-I113</f>
        <v>56940.659999999996</v>
      </c>
      <c r="K113" s="18">
        <f>VLOOKUP(B113,'Balancete Contab. 12 2020'!A:G,7,0)-J113</f>
        <v>0</v>
      </c>
    </row>
    <row r="114" spans="2:11" x14ac:dyDescent="0.2">
      <c r="B114" s="19">
        <v>139410</v>
      </c>
      <c r="C114" s="20" t="s">
        <v>47</v>
      </c>
      <c r="D114" s="16">
        <v>8696.5</v>
      </c>
      <c r="E114" s="17"/>
      <c r="F114" s="17"/>
      <c r="G114" s="17"/>
      <c r="H114" s="157"/>
      <c r="I114" s="157">
        <f>baixas!O68</f>
        <v>0</v>
      </c>
      <c r="J114" s="17">
        <f>D114+H114-I114</f>
        <v>8696.5</v>
      </c>
      <c r="K114" s="18">
        <f>VLOOKUP(B114,'Balancete Contab. 12 2020'!A:G,7,0)-J114</f>
        <v>0</v>
      </c>
    </row>
    <row r="115" spans="2:11" x14ac:dyDescent="0.2">
      <c r="B115" s="19"/>
      <c r="C115" s="20"/>
      <c r="D115" s="16">
        <v>23329833.850000001</v>
      </c>
      <c r="E115" s="17"/>
      <c r="F115" s="17"/>
      <c r="G115" s="17"/>
      <c r="H115" s="157"/>
      <c r="I115" s="157"/>
      <c r="J115" s="17"/>
      <c r="K115" s="18"/>
    </row>
    <row r="116" spans="2:11" x14ac:dyDescent="0.2">
      <c r="B116" s="19"/>
      <c r="C116" s="20"/>
      <c r="D116" s="16"/>
      <c r="E116" s="17"/>
      <c r="F116" s="17"/>
      <c r="G116" s="17"/>
      <c r="H116" s="157"/>
      <c r="I116" s="159">
        <f>SUM(I110:I114)</f>
        <v>1643.83</v>
      </c>
      <c r="J116" s="16">
        <f>SUM(J110:J114)</f>
        <v>23328190.02</v>
      </c>
      <c r="K116" s="18"/>
    </row>
    <row r="117" spans="2:11" ht="15.75" thickBot="1" x14ac:dyDescent="0.3">
      <c r="B117" s="21">
        <v>139500</v>
      </c>
      <c r="C117" s="21" t="s">
        <v>725</v>
      </c>
      <c r="D117" s="22">
        <v>23321137.340000004</v>
      </c>
      <c r="E117" s="22"/>
      <c r="F117" s="22">
        <f>F118</f>
        <v>0</v>
      </c>
      <c r="G117" s="22"/>
      <c r="H117" s="79">
        <f>depreciações!O58</f>
        <v>0</v>
      </c>
      <c r="I117" s="79">
        <f>SUM(I118:I122)</f>
        <v>1643.83</v>
      </c>
      <c r="J117" s="22">
        <f>D117+H117-I117-F117</f>
        <v>23319493.510000005</v>
      </c>
      <c r="K117" s="23">
        <f>VLOOKUP(B117,'Balancete Contab. 12 2020'!A:G,7,0)+J117</f>
        <v>0</v>
      </c>
    </row>
    <row r="118" spans="2:11" ht="15.75" thickTop="1" x14ac:dyDescent="0.25">
      <c r="B118" s="19">
        <v>139510</v>
      </c>
      <c r="C118" s="35" t="s">
        <v>709</v>
      </c>
      <c r="D118" s="16">
        <v>18823804.240000006</v>
      </c>
      <c r="E118" s="17"/>
      <c r="F118" s="17">
        <f>'participações CSC Alfa'!O83</f>
        <v>0</v>
      </c>
      <c r="G118" s="17"/>
      <c r="H118" s="157">
        <f>depreciações!O59</f>
        <v>0</v>
      </c>
      <c r="I118" s="157">
        <f>baixas!O72</f>
        <v>0</v>
      </c>
      <c r="J118" s="17">
        <f>D118+H118-I118-F118</f>
        <v>18823804.240000006</v>
      </c>
      <c r="K118" s="18">
        <f>VLOOKUP(B118,'Balancete Contab. 12 2020'!A:G,7,0)+J118</f>
        <v>0</v>
      </c>
    </row>
    <row r="119" spans="2:11" ht="15" x14ac:dyDescent="0.25">
      <c r="B119" s="19">
        <v>139520</v>
      </c>
      <c r="C119" s="35" t="s">
        <v>710</v>
      </c>
      <c r="D119" s="16">
        <v>4115193.56</v>
      </c>
      <c r="E119" s="17"/>
      <c r="F119" s="17"/>
      <c r="G119" s="17"/>
      <c r="H119" s="157">
        <f>depreciações!O60</f>
        <v>0</v>
      </c>
      <c r="I119" s="157">
        <f>baixas!O73</f>
        <v>0</v>
      </c>
      <c r="J119" s="17">
        <f>D119+H119-I119</f>
        <v>4115193.56</v>
      </c>
      <c r="K119" s="18">
        <f>VLOOKUP(B119,'Balancete Contab. 12 2020'!A:G,7,0)+J119</f>
        <v>0</v>
      </c>
    </row>
    <row r="120" spans="2:11" ht="15" x14ac:dyDescent="0.25">
      <c r="B120" s="19">
        <v>139530</v>
      </c>
      <c r="C120" s="35" t="s">
        <v>689</v>
      </c>
      <c r="D120" s="16">
        <v>325159.36999999994</v>
      </c>
      <c r="E120" s="17"/>
      <c r="F120" s="17"/>
      <c r="G120" s="17"/>
      <c r="H120" s="157">
        <f>depreciações!O61</f>
        <v>0</v>
      </c>
      <c r="I120" s="157">
        <f>baixas!O74</f>
        <v>1604.32</v>
      </c>
      <c r="J120" s="17">
        <f>D120+H120-I120</f>
        <v>323555.04999999993</v>
      </c>
      <c r="K120" s="18">
        <f>VLOOKUP(B120,'Balancete Contab. 12 2020'!A:G,7,0)+J120</f>
        <v>0</v>
      </c>
    </row>
    <row r="121" spans="2:11" ht="15" x14ac:dyDescent="0.25">
      <c r="B121" s="19">
        <v>139550</v>
      </c>
      <c r="C121" s="35" t="s">
        <v>696</v>
      </c>
      <c r="D121" s="16">
        <v>56980.17</v>
      </c>
      <c r="E121" s="17"/>
      <c r="F121" s="17"/>
      <c r="G121" s="17"/>
      <c r="H121" s="157">
        <f>depreciações!O62</f>
        <v>0</v>
      </c>
      <c r="I121" s="157">
        <f>baixas!O75</f>
        <v>39.51</v>
      </c>
      <c r="J121" s="17">
        <f>D121+H121-I121</f>
        <v>56940.659999999996</v>
      </c>
      <c r="K121" s="18">
        <f>VLOOKUP(B121,'Balancete Contab. 12 2020'!A:G,7,0)+J121</f>
        <v>0</v>
      </c>
    </row>
    <row r="122" spans="2:11" x14ac:dyDescent="0.2">
      <c r="B122" s="19"/>
      <c r="C122" s="15"/>
      <c r="D122" s="16"/>
      <c r="E122" s="17"/>
      <c r="F122" s="17"/>
      <c r="G122" s="17"/>
      <c r="H122" s="157"/>
      <c r="I122" s="17"/>
      <c r="J122" s="17"/>
      <c r="K122" s="18"/>
    </row>
    <row r="123" spans="2:11" x14ac:dyDescent="0.2">
      <c r="B123" s="19"/>
      <c r="C123" s="20"/>
      <c r="D123" s="16"/>
      <c r="E123" s="17"/>
      <c r="F123" s="17"/>
      <c r="G123" s="17"/>
      <c r="H123" s="157"/>
      <c r="I123" s="16"/>
      <c r="J123" s="17"/>
      <c r="K123" s="18"/>
    </row>
    <row r="124" spans="2:11" ht="15.75" thickBot="1" x14ac:dyDescent="0.3">
      <c r="B124" s="21">
        <v>140000</v>
      </c>
      <c r="C124" s="21" t="s">
        <v>726</v>
      </c>
      <c r="D124" s="22">
        <v>-1353560</v>
      </c>
      <c r="E124" s="22"/>
      <c r="F124" s="22"/>
      <c r="G124" s="22"/>
      <c r="H124" s="79">
        <f>depreciações!O55</f>
        <v>0</v>
      </c>
      <c r="I124" s="22"/>
      <c r="J124" s="22">
        <f>D124+H124-I124</f>
        <v>-1353560</v>
      </c>
      <c r="K124" s="23">
        <f>VLOOKUP(B124,'Balancete Contab. 12 2020'!A:G,7,0)+J124</f>
        <v>0</v>
      </c>
    </row>
    <row r="125" spans="2:11" ht="15.75" thickTop="1" x14ac:dyDescent="0.25">
      <c r="B125" s="19">
        <v>140005</v>
      </c>
      <c r="C125" s="35" t="s">
        <v>685</v>
      </c>
      <c r="D125" s="16">
        <v>-1353560</v>
      </c>
      <c r="E125" s="17"/>
      <c r="F125" s="17"/>
      <c r="G125" s="17"/>
      <c r="H125" s="157">
        <f>depreciações!O56</f>
        <v>0</v>
      </c>
      <c r="I125" s="17"/>
      <c r="J125" s="17">
        <f>D125+H125-I125</f>
        <v>-1353560</v>
      </c>
      <c r="K125" s="18">
        <f>VLOOKUP(B125,'Balancete Contab. 12 2020'!A:G,7,0)+J125</f>
        <v>0</v>
      </c>
    </row>
    <row r="126" spans="2:11" x14ac:dyDescent="0.2">
      <c r="B126" s="19"/>
      <c r="C126" s="20"/>
      <c r="D126" s="16"/>
      <c r="E126" s="17"/>
      <c r="F126" s="17"/>
      <c r="G126" s="17"/>
      <c r="H126" s="157"/>
      <c r="I126" s="17"/>
      <c r="J126" s="17"/>
      <c r="K126" s="18"/>
    </row>
    <row r="127" spans="2:11" x14ac:dyDescent="0.2">
      <c r="B127" s="19"/>
      <c r="C127" s="20"/>
      <c r="D127" s="16"/>
      <c r="E127" s="17"/>
      <c r="F127" s="17"/>
      <c r="G127" s="17"/>
      <c r="H127" s="157"/>
      <c r="I127" s="17"/>
      <c r="J127" s="17"/>
      <c r="K127" s="18"/>
    </row>
    <row r="128" spans="2:11" ht="15.75" thickBot="1" x14ac:dyDescent="0.3">
      <c r="B128" s="21">
        <v>145000</v>
      </c>
      <c r="C128" s="21" t="s">
        <v>52</v>
      </c>
      <c r="D128" s="22">
        <f>D129+D142</f>
        <v>73342.02</v>
      </c>
      <c r="E128" s="22">
        <f>E129</f>
        <v>7829</v>
      </c>
      <c r="F128" s="22">
        <f>F129</f>
        <v>1082.8699999999999</v>
      </c>
      <c r="G128" s="22">
        <f>'tranf. proj'!O58</f>
        <v>206.45</v>
      </c>
      <c r="H128" s="79">
        <f>H129</f>
        <v>-23873.079999999994</v>
      </c>
      <c r="I128" s="22"/>
      <c r="J128" s="55">
        <f>J129+J142</f>
        <v>58587.259999999755</v>
      </c>
      <c r="K128" s="23">
        <f>VLOOKUP(B128,'Balancete Contab. 12 2020'!A:G,7,0)-J128</f>
        <v>2.4738255888223648E-10</v>
      </c>
    </row>
    <row r="129" spans="2:11" ht="13.5" thickTop="1" x14ac:dyDescent="0.2">
      <c r="B129" s="19">
        <v>145100</v>
      </c>
      <c r="C129" s="20" t="s">
        <v>53</v>
      </c>
      <c r="D129" s="16">
        <v>72814</v>
      </c>
      <c r="E129" s="16">
        <f>adições!O67</f>
        <v>7829</v>
      </c>
      <c r="F129" s="16">
        <f>SUM(F130:F133)-F136</f>
        <v>1082.8699999999999</v>
      </c>
      <c r="G129" s="16"/>
      <c r="H129" s="159">
        <f>-H136</f>
        <v>-23873.079999999994</v>
      </c>
      <c r="I129" s="17"/>
      <c r="J129" s="16">
        <f>J134-J136</f>
        <v>58059.239999999758</v>
      </c>
      <c r="K129" s="18">
        <f>VLOOKUP(B129,'Balancete Contab. 12 2020'!A:G,7,0)-J129</f>
        <v>2.4010660126805305E-10</v>
      </c>
    </row>
    <row r="130" spans="2:11" x14ac:dyDescent="0.2">
      <c r="B130" s="19">
        <v>145210</v>
      </c>
      <c r="C130" s="20" t="s">
        <v>54</v>
      </c>
      <c r="D130" s="16">
        <v>13133.62</v>
      </c>
      <c r="E130" s="17">
        <f>adições!O68</f>
        <v>0</v>
      </c>
      <c r="F130" s="17"/>
      <c r="G130" s="17"/>
      <c r="H130" s="157">
        <v>0</v>
      </c>
      <c r="I130" s="17"/>
      <c r="J130" s="17">
        <f>D130+E130-I130+G130</f>
        <v>13133.62</v>
      </c>
      <c r="K130" s="18">
        <f>VLOOKUP(B130,'Balancete Contab. 12 2020'!A:G,7,0)-J130</f>
        <v>0</v>
      </c>
    </row>
    <row r="131" spans="2:11" x14ac:dyDescent="0.2">
      <c r="B131" s="19">
        <v>145310</v>
      </c>
      <c r="C131" s="20" t="s">
        <v>55</v>
      </c>
      <c r="D131" s="16">
        <v>1530209</v>
      </c>
      <c r="E131" s="17">
        <f>adições!O69</f>
        <v>7829</v>
      </c>
      <c r="F131" s="17">
        <f>'participações CSC Alfa'!O93</f>
        <v>-53443.32</v>
      </c>
      <c r="G131" s="17">
        <f>'tranf. proj'!O58</f>
        <v>206.45</v>
      </c>
      <c r="H131" s="157">
        <v>0</v>
      </c>
      <c r="I131" s="17"/>
      <c r="J131" s="17">
        <f>D131+E131-I131+G131+F131</f>
        <v>1484801.13</v>
      </c>
      <c r="K131" s="18">
        <f>VLOOKUP(B131,'Balancete Contab. 12 2020'!A:G,7,0)-J131</f>
        <v>0</v>
      </c>
    </row>
    <row r="132" spans="2:11" x14ac:dyDescent="0.2">
      <c r="B132" s="19">
        <v>145315</v>
      </c>
      <c r="C132" s="20" t="s">
        <v>56</v>
      </c>
      <c r="D132" s="16">
        <v>85287.97</v>
      </c>
      <c r="E132" s="17"/>
      <c r="F132" s="17">
        <f>'participações CSC Alfa'!O94</f>
        <v>53443.32</v>
      </c>
      <c r="G132" s="17">
        <f>'tranf. proj'!O59</f>
        <v>0</v>
      </c>
      <c r="H132" s="157">
        <v>0</v>
      </c>
      <c r="I132" s="17"/>
      <c r="J132" s="17">
        <f>D132+E132-I132+G132+F132</f>
        <v>138731.29</v>
      </c>
      <c r="K132" s="18">
        <f>VLOOKUP(B132,'Balancete Contab. 12 2020'!A:G,7,0)-J132</f>
        <v>0</v>
      </c>
    </row>
    <row r="133" spans="2:11" x14ac:dyDescent="0.2">
      <c r="B133" s="19">
        <v>145320</v>
      </c>
      <c r="C133" s="20" t="s">
        <v>57</v>
      </c>
      <c r="D133" s="52">
        <v>-120079.24</v>
      </c>
      <c r="E133" s="17"/>
      <c r="F133" s="17">
        <f>VLOOKUP(B133,'participações CSC Alfa'!A:O,15,0)</f>
        <v>-876.45</v>
      </c>
      <c r="G133" s="17"/>
      <c r="H133" s="157">
        <v>0</v>
      </c>
      <c r="I133" s="17"/>
      <c r="J133" s="17">
        <f>D133+E133-I133+G133+F133</f>
        <v>-120955.69</v>
      </c>
      <c r="K133" s="18">
        <f>VLOOKUP(B133,'Balancete Contab. 12 2020'!A:G,7,0)-J133</f>
        <v>0</v>
      </c>
    </row>
    <row r="134" spans="2:11" x14ac:dyDescent="0.2">
      <c r="B134" s="19"/>
      <c r="C134" s="20"/>
      <c r="D134" s="16"/>
      <c r="E134" s="17"/>
      <c r="F134" s="17"/>
      <c r="G134" s="17"/>
      <c r="H134" s="157"/>
      <c r="I134" s="17"/>
      <c r="J134" s="17">
        <f>SUM(J130:J133)</f>
        <v>1515710.35</v>
      </c>
      <c r="K134" s="18"/>
    </row>
    <row r="135" spans="2:11" x14ac:dyDescent="0.2">
      <c r="B135" s="19"/>
      <c r="C135" s="20"/>
      <c r="D135" s="16"/>
      <c r="E135" s="17"/>
      <c r="F135" s="17"/>
      <c r="G135" s="17"/>
      <c r="H135" s="157"/>
      <c r="I135" s="17"/>
      <c r="J135" s="17"/>
      <c r="K135" s="18"/>
    </row>
    <row r="136" spans="2:11" ht="15.75" thickBot="1" x14ac:dyDescent="0.3">
      <c r="B136" s="21">
        <v>146300</v>
      </c>
      <c r="C136" s="21" t="s">
        <v>727</v>
      </c>
      <c r="D136" s="22">
        <v>1435737.3500000003</v>
      </c>
      <c r="E136" s="22"/>
      <c r="F136" s="22">
        <f>SUM(F137:F140)</f>
        <v>-1959.32</v>
      </c>
      <c r="G136" s="22"/>
      <c r="H136" s="79">
        <f>SUM(H137:H140)</f>
        <v>23873.079999999994</v>
      </c>
      <c r="I136" s="22"/>
      <c r="J136" s="22">
        <f>D136+H136-I136+F136</f>
        <v>1457651.1100000003</v>
      </c>
      <c r="K136" s="23">
        <f>VLOOKUP(B136,'Balancete Contab. 12 2020'!A:G,7,0)+J136</f>
        <v>0</v>
      </c>
    </row>
    <row r="137" spans="2:11" ht="15.75" thickTop="1" x14ac:dyDescent="0.25">
      <c r="B137" s="19">
        <v>146310</v>
      </c>
      <c r="C137" s="35" t="s">
        <v>711</v>
      </c>
      <c r="D137" s="16">
        <v>1432948.7300000004</v>
      </c>
      <c r="E137" s="17"/>
      <c r="F137" s="17"/>
      <c r="G137" s="17"/>
      <c r="H137" s="157">
        <f>depreciações!O65</f>
        <v>19825.79</v>
      </c>
      <c r="I137" s="17"/>
      <c r="J137" s="17">
        <f>D137+H137-I137+F137</f>
        <v>1452774.5200000005</v>
      </c>
      <c r="K137" s="18">
        <f>VLOOKUP(B137,'Balancete Contab. 12 2020'!A:G,7,0)+J137</f>
        <v>0</v>
      </c>
    </row>
    <row r="138" spans="2:11" ht="15" x14ac:dyDescent="0.25">
      <c r="B138" s="19">
        <v>146315</v>
      </c>
      <c r="C138" s="35" t="s">
        <v>712</v>
      </c>
      <c r="D138" s="28">
        <v>18308.239999999998</v>
      </c>
      <c r="E138" s="28"/>
      <c r="F138" s="28"/>
      <c r="G138" s="28"/>
      <c r="H138" s="161">
        <f>depreciações!O66</f>
        <v>27746.269999999997</v>
      </c>
      <c r="I138" s="28"/>
      <c r="J138" s="28">
        <f>D138+H138+I138</f>
        <v>46054.509999999995</v>
      </c>
      <c r="K138" s="29">
        <f>VLOOKUP(B138,'Balancete Contab. 12 2020'!A:G,7,0)+J138</f>
        <v>0</v>
      </c>
    </row>
    <row r="139" spans="2:11" ht="15" x14ac:dyDescent="0.25">
      <c r="B139" s="19">
        <v>146320</v>
      </c>
      <c r="C139" s="35" t="s">
        <v>713</v>
      </c>
      <c r="D139" s="28">
        <v>-15519.619999999997</v>
      </c>
      <c r="E139" s="28"/>
      <c r="F139" s="28">
        <f>'participações CSC Alfa'!O100</f>
        <v>-1959.32</v>
      </c>
      <c r="G139" s="28"/>
      <c r="H139" s="161">
        <f>depreciações!O67</f>
        <v>-23698.980000000003</v>
      </c>
      <c r="I139" s="28"/>
      <c r="J139" s="28">
        <f>D139+H139-I139+F139</f>
        <v>-41177.919999999998</v>
      </c>
      <c r="K139" s="29">
        <f>VLOOKUP(B139,'Balancete Contab. 12 2020'!A:G,7,0)+J139</f>
        <v>0</v>
      </c>
    </row>
    <row r="140" spans="2:11" x14ac:dyDescent="0.2">
      <c r="B140" s="19"/>
      <c r="C140" s="27"/>
      <c r="D140" s="28"/>
      <c r="E140" s="28"/>
      <c r="F140" s="28"/>
      <c r="G140" s="28"/>
      <c r="H140" s="161"/>
      <c r="I140" s="28"/>
      <c r="J140" s="28"/>
      <c r="K140" s="29"/>
    </row>
    <row r="141" spans="2:11" x14ac:dyDescent="0.2">
      <c r="B141" s="19"/>
      <c r="C141" s="27"/>
      <c r="D141" s="28"/>
      <c r="E141" s="28"/>
      <c r="F141" s="28"/>
      <c r="G141" s="28"/>
      <c r="H141" s="161"/>
      <c r="I141" s="28"/>
      <c r="J141" s="28"/>
      <c r="K141" s="29"/>
    </row>
    <row r="142" spans="2:11" ht="15.75" thickBot="1" x14ac:dyDescent="0.3">
      <c r="B142" s="21">
        <v>147000</v>
      </c>
      <c r="C142" s="47" t="s">
        <v>58</v>
      </c>
      <c r="D142" s="23">
        <v>528.02</v>
      </c>
      <c r="E142" s="23"/>
      <c r="F142" s="23"/>
      <c r="G142" s="23"/>
      <c r="H142" s="162"/>
      <c r="I142" s="23"/>
      <c r="J142" s="23">
        <f>D142+E142-I142</f>
        <v>528.02</v>
      </c>
      <c r="K142" s="23">
        <f>VLOOKUP(B142,'Balancete Contab. 12 2020'!A:G,7,0)-J142</f>
        <v>0</v>
      </c>
    </row>
    <row r="143" spans="2:11" ht="13.5" thickTop="1" x14ac:dyDescent="0.2">
      <c r="B143" s="19">
        <v>147020</v>
      </c>
      <c r="C143" s="27" t="s">
        <v>54</v>
      </c>
      <c r="D143" s="28">
        <v>528.02</v>
      </c>
      <c r="E143" s="28"/>
      <c r="F143" s="28"/>
      <c r="G143" s="28"/>
      <c r="H143" s="161"/>
      <c r="I143" s="28"/>
      <c r="J143" s="28">
        <f>D143+E143-I143</f>
        <v>528.02</v>
      </c>
      <c r="K143" s="29">
        <f>VLOOKUP(B143,'Balancete Contab. 12 2020'!A:G,7,0)-J143</f>
        <v>0</v>
      </c>
    </row>
    <row r="144" spans="2:11" ht="13.5" thickBot="1" x14ac:dyDescent="0.25">
      <c r="B144" s="30"/>
      <c r="C144" s="31"/>
      <c r="D144" s="32"/>
      <c r="E144" s="32"/>
      <c r="F144" s="32"/>
      <c r="G144" s="32"/>
      <c r="H144" s="163"/>
      <c r="I144" s="32"/>
      <c r="J144" s="32"/>
      <c r="K144" s="33"/>
    </row>
    <row r="145" spans="8:8" ht="13.5" thickTop="1" x14ac:dyDescent="0.2">
      <c r="H145" s="164"/>
    </row>
  </sheetData>
  <autoFilter ref="B4:K144" xr:uid="{61B55950-BC34-410B-BABA-B872994EC5BF}"/>
  <phoneticPr fontId="9" type="noConversion"/>
  <pageMargins left="0" right="0" top="0" bottom="0" header="0.51181102362204722" footer="0.51181102362204722"/>
  <pageSetup paperSize="9" scale="41" fitToWidth="0" orientation="portrait" r:id="rId1"/>
  <headerFooter alignWithMargins="0">
    <oddFooter>&amp;L&amp;"Arial,Negrito"&amp;Z&amp;F &amp;T &amp;D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2:P75"/>
  <sheetViews>
    <sheetView showGridLines="0" topLeftCell="B1" zoomScale="80" zoomScaleNormal="80" workbookViewId="0">
      <pane ySplit="4" topLeftCell="A56" activePane="bottomLeft" state="frozen"/>
      <selection activeCell="G23" sqref="G23"/>
      <selection pane="bottomLeft" activeCell="C36" sqref="C36:N36"/>
    </sheetView>
  </sheetViews>
  <sheetFormatPr defaultColWidth="12.5703125" defaultRowHeight="12.75" x14ac:dyDescent="0.2"/>
  <cols>
    <col min="1" max="1" width="11.42578125" customWidth="1"/>
    <col min="2" max="2" width="57" bestFit="1" customWidth="1"/>
    <col min="3" max="3" width="11.7109375" style="1" bestFit="1" customWidth="1"/>
    <col min="4" max="4" width="11.85546875" bestFit="1" customWidth="1"/>
    <col min="5" max="5" width="12.7109375" bestFit="1" customWidth="1"/>
    <col min="6" max="6" width="14" customWidth="1"/>
    <col min="7" max="7" width="12.42578125" bestFit="1" customWidth="1"/>
    <col min="8" max="8" width="12.7109375" bestFit="1" customWidth="1"/>
    <col min="9" max="9" width="12" bestFit="1" customWidth="1"/>
    <col min="10" max="10" width="12.42578125" bestFit="1" customWidth="1"/>
    <col min="11" max="11" width="14.7109375" customWidth="1"/>
    <col min="12" max="12" width="12.140625" bestFit="1" customWidth="1"/>
    <col min="13" max="13" width="12.42578125" bestFit="1" customWidth="1"/>
    <col min="14" max="14" width="14.85546875" bestFit="1" customWidth="1"/>
    <col min="15" max="15" width="15.140625" bestFit="1" customWidth="1"/>
    <col min="257" max="257" width="11.42578125" customWidth="1"/>
    <col min="258" max="258" width="57" bestFit="1" customWidth="1"/>
    <col min="259" max="259" width="11.7109375" bestFit="1" customWidth="1"/>
    <col min="260" max="260" width="11.85546875" bestFit="1" customWidth="1"/>
    <col min="261" max="261" width="12.7109375" bestFit="1" customWidth="1"/>
    <col min="262" max="262" width="12.140625" bestFit="1" customWidth="1"/>
    <col min="263" max="263" width="12.42578125" bestFit="1" customWidth="1"/>
    <col min="264" max="264" width="12.7109375" bestFit="1" customWidth="1"/>
    <col min="265" max="265" width="11.28515625" bestFit="1" customWidth="1"/>
    <col min="266" max="266" width="12.42578125" bestFit="1" customWidth="1"/>
    <col min="267" max="268" width="12.140625" bestFit="1" customWidth="1"/>
    <col min="269" max="270" width="12.42578125" bestFit="1" customWidth="1"/>
    <col min="271" max="271" width="13.5703125" bestFit="1" customWidth="1"/>
    <col min="513" max="513" width="11.42578125" customWidth="1"/>
    <col min="514" max="514" width="57" bestFit="1" customWidth="1"/>
    <col min="515" max="515" width="11.7109375" bestFit="1" customWidth="1"/>
    <col min="516" max="516" width="11.85546875" bestFit="1" customWidth="1"/>
    <col min="517" max="517" width="12.7109375" bestFit="1" customWidth="1"/>
    <col min="518" max="518" width="12.140625" bestFit="1" customWidth="1"/>
    <col min="519" max="519" width="12.42578125" bestFit="1" customWidth="1"/>
    <col min="520" max="520" width="12.7109375" bestFit="1" customWidth="1"/>
    <col min="521" max="521" width="11.28515625" bestFit="1" customWidth="1"/>
    <col min="522" max="522" width="12.42578125" bestFit="1" customWidth="1"/>
    <col min="523" max="524" width="12.140625" bestFit="1" customWidth="1"/>
    <col min="525" max="526" width="12.42578125" bestFit="1" customWidth="1"/>
    <col min="527" max="527" width="13.5703125" bestFit="1" customWidth="1"/>
    <col min="769" max="769" width="11.42578125" customWidth="1"/>
    <col min="770" max="770" width="57" bestFit="1" customWidth="1"/>
    <col min="771" max="771" width="11.7109375" bestFit="1" customWidth="1"/>
    <col min="772" max="772" width="11.85546875" bestFit="1" customWidth="1"/>
    <col min="773" max="773" width="12.7109375" bestFit="1" customWidth="1"/>
    <col min="774" max="774" width="12.140625" bestFit="1" customWidth="1"/>
    <col min="775" max="775" width="12.42578125" bestFit="1" customWidth="1"/>
    <col min="776" max="776" width="12.7109375" bestFit="1" customWidth="1"/>
    <col min="777" max="777" width="11.28515625" bestFit="1" customWidth="1"/>
    <col min="778" max="778" width="12.42578125" bestFit="1" customWidth="1"/>
    <col min="779" max="780" width="12.140625" bestFit="1" customWidth="1"/>
    <col min="781" max="782" width="12.42578125" bestFit="1" customWidth="1"/>
    <col min="783" max="783" width="13.5703125" bestFit="1" customWidth="1"/>
    <col min="1025" max="1025" width="11.42578125" customWidth="1"/>
    <col min="1026" max="1026" width="57" bestFit="1" customWidth="1"/>
    <col min="1027" max="1027" width="11.7109375" bestFit="1" customWidth="1"/>
    <col min="1028" max="1028" width="11.85546875" bestFit="1" customWidth="1"/>
    <col min="1029" max="1029" width="12.7109375" bestFit="1" customWidth="1"/>
    <col min="1030" max="1030" width="12.140625" bestFit="1" customWidth="1"/>
    <col min="1031" max="1031" width="12.42578125" bestFit="1" customWidth="1"/>
    <col min="1032" max="1032" width="12.7109375" bestFit="1" customWidth="1"/>
    <col min="1033" max="1033" width="11.28515625" bestFit="1" customWidth="1"/>
    <col min="1034" max="1034" width="12.42578125" bestFit="1" customWidth="1"/>
    <col min="1035" max="1036" width="12.140625" bestFit="1" customWidth="1"/>
    <col min="1037" max="1038" width="12.42578125" bestFit="1" customWidth="1"/>
    <col min="1039" max="1039" width="13.5703125" bestFit="1" customWidth="1"/>
    <col min="1281" max="1281" width="11.42578125" customWidth="1"/>
    <col min="1282" max="1282" width="57" bestFit="1" customWidth="1"/>
    <col min="1283" max="1283" width="11.7109375" bestFit="1" customWidth="1"/>
    <col min="1284" max="1284" width="11.85546875" bestFit="1" customWidth="1"/>
    <col min="1285" max="1285" width="12.7109375" bestFit="1" customWidth="1"/>
    <col min="1286" max="1286" width="12.140625" bestFit="1" customWidth="1"/>
    <col min="1287" max="1287" width="12.42578125" bestFit="1" customWidth="1"/>
    <col min="1288" max="1288" width="12.7109375" bestFit="1" customWidth="1"/>
    <col min="1289" max="1289" width="11.28515625" bestFit="1" customWidth="1"/>
    <col min="1290" max="1290" width="12.42578125" bestFit="1" customWidth="1"/>
    <col min="1291" max="1292" width="12.140625" bestFit="1" customWidth="1"/>
    <col min="1293" max="1294" width="12.42578125" bestFit="1" customWidth="1"/>
    <col min="1295" max="1295" width="13.5703125" bestFit="1" customWidth="1"/>
    <col min="1537" max="1537" width="11.42578125" customWidth="1"/>
    <col min="1538" max="1538" width="57" bestFit="1" customWidth="1"/>
    <col min="1539" max="1539" width="11.7109375" bestFit="1" customWidth="1"/>
    <col min="1540" max="1540" width="11.85546875" bestFit="1" customWidth="1"/>
    <col min="1541" max="1541" width="12.7109375" bestFit="1" customWidth="1"/>
    <col min="1542" max="1542" width="12.140625" bestFit="1" customWidth="1"/>
    <col min="1543" max="1543" width="12.42578125" bestFit="1" customWidth="1"/>
    <col min="1544" max="1544" width="12.7109375" bestFit="1" customWidth="1"/>
    <col min="1545" max="1545" width="11.28515625" bestFit="1" customWidth="1"/>
    <col min="1546" max="1546" width="12.42578125" bestFit="1" customWidth="1"/>
    <col min="1547" max="1548" width="12.140625" bestFit="1" customWidth="1"/>
    <col min="1549" max="1550" width="12.42578125" bestFit="1" customWidth="1"/>
    <col min="1551" max="1551" width="13.5703125" bestFit="1" customWidth="1"/>
    <col min="1793" max="1793" width="11.42578125" customWidth="1"/>
    <col min="1794" max="1794" width="57" bestFit="1" customWidth="1"/>
    <col min="1795" max="1795" width="11.7109375" bestFit="1" customWidth="1"/>
    <col min="1796" max="1796" width="11.85546875" bestFit="1" customWidth="1"/>
    <col min="1797" max="1797" width="12.7109375" bestFit="1" customWidth="1"/>
    <col min="1798" max="1798" width="12.140625" bestFit="1" customWidth="1"/>
    <col min="1799" max="1799" width="12.42578125" bestFit="1" customWidth="1"/>
    <col min="1800" max="1800" width="12.7109375" bestFit="1" customWidth="1"/>
    <col min="1801" max="1801" width="11.28515625" bestFit="1" customWidth="1"/>
    <col min="1802" max="1802" width="12.42578125" bestFit="1" customWidth="1"/>
    <col min="1803" max="1804" width="12.140625" bestFit="1" customWidth="1"/>
    <col min="1805" max="1806" width="12.42578125" bestFit="1" customWidth="1"/>
    <col min="1807" max="1807" width="13.5703125" bestFit="1" customWidth="1"/>
    <col min="2049" max="2049" width="11.42578125" customWidth="1"/>
    <col min="2050" max="2050" width="57" bestFit="1" customWidth="1"/>
    <col min="2051" max="2051" width="11.7109375" bestFit="1" customWidth="1"/>
    <col min="2052" max="2052" width="11.85546875" bestFit="1" customWidth="1"/>
    <col min="2053" max="2053" width="12.7109375" bestFit="1" customWidth="1"/>
    <col min="2054" max="2054" width="12.140625" bestFit="1" customWidth="1"/>
    <col min="2055" max="2055" width="12.42578125" bestFit="1" customWidth="1"/>
    <col min="2056" max="2056" width="12.7109375" bestFit="1" customWidth="1"/>
    <col min="2057" max="2057" width="11.28515625" bestFit="1" customWidth="1"/>
    <col min="2058" max="2058" width="12.42578125" bestFit="1" customWidth="1"/>
    <col min="2059" max="2060" width="12.140625" bestFit="1" customWidth="1"/>
    <col min="2061" max="2062" width="12.42578125" bestFit="1" customWidth="1"/>
    <col min="2063" max="2063" width="13.5703125" bestFit="1" customWidth="1"/>
    <col min="2305" max="2305" width="11.42578125" customWidth="1"/>
    <col min="2306" max="2306" width="57" bestFit="1" customWidth="1"/>
    <col min="2307" max="2307" width="11.7109375" bestFit="1" customWidth="1"/>
    <col min="2308" max="2308" width="11.85546875" bestFit="1" customWidth="1"/>
    <col min="2309" max="2309" width="12.7109375" bestFit="1" customWidth="1"/>
    <col min="2310" max="2310" width="12.140625" bestFit="1" customWidth="1"/>
    <col min="2311" max="2311" width="12.42578125" bestFit="1" customWidth="1"/>
    <col min="2312" max="2312" width="12.7109375" bestFit="1" customWidth="1"/>
    <col min="2313" max="2313" width="11.28515625" bestFit="1" customWidth="1"/>
    <col min="2314" max="2314" width="12.42578125" bestFit="1" customWidth="1"/>
    <col min="2315" max="2316" width="12.140625" bestFit="1" customWidth="1"/>
    <col min="2317" max="2318" width="12.42578125" bestFit="1" customWidth="1"/>
    <col min="2319" max="2319" width="13.5703125" bestFit="1" customWidth="1"/>
    <col min="2561" max="2561" width="11.42578125" customWidth="1"/>
    <col min="2562" max="2562" width="57" bestFit="1" customWidth="1"/>
    <col min="2563" max="2563" width="11.7109375" bestFit="1" customWidth="1"/>
    <col min="2564" max="2564" width="11.85546875" bestFit="1" customWidth="1"/>
    <col min="2565" max="2565" width="12.7109375" bestFit="1" customWidth="1"/>
    <col min="2566" max="2566" width="12.140625" bestFit="1" customWidth="1"/>
    <col min="2567" max="2567" width="12.42578125" bestFit="1" customWidth="1"/>
    <col min="2568" max="2568" width="12.7109375" bestFit="1" customWidth="1"/>
    <col min="2569" max="2569" width="11.28515625" bestFit="1" customWidth="1"/>
    <col min="2570" max="2570" width="12.42578125" bestFit="1" customWidth="1"/>
    <col min="2571" max="2572" width="12.140625" bestFit="1" customWidth="1"/>
    <col min="2573" max="2574" width="12.42578125" bestFit="1" customWidth="1"/>
    <col min="2575" max="2575" width="13.5703125" bestFit="1" customWidth="1"/>
    <col min="2817" max="2817" width="11.42578125" customWidth="1"/>
    <col min="2818" max="2818" width="57" bestFit="1" customWidth="1"/>
    <col min="2819" max="2819" width="11.7109375" bestFit="1" customWidth="1"/>
    <col min="2820" max="2820" width="11.85546875" bestFit="1" customWidth="1"/>
    <col min="2821" max="2821" width="12.7109375" bestFit="1" customWidth="1"/>
    <col min="2822" max="2822" width="12.140625" bestFit="1" customWidth="1"/>
    <col min="2823" max="2823" width="12.42578125" bestFit="1" customWidth="1"/>
    <col min="2824" max="2824" width="12.7109375" bestFit="1" customWidth="1"/>
    <col min="2825" max="2825" width="11.28515625" bestFit="1" customWidth="1"/>
    <col min="2826" max="2826" width="12.42578125" bestFit="1" customWidth="1"/>
    <col min="2827" max="2828" width="12.140625" bestFit="1" customWidth="1"/>
    <col min="2829" max="2830" width="12.42578125" bestFit="1" customWidth="1"/>
    <col min="2831" max="2831" width="13.5703125" bestFit="1" customWidth="1"/>
    <col min="3073" max="3073" width="11.42578125" customWidth="1"/>
    <col min="3074" max="3074" width="57" bestFit="1" customWidth="1"/>
    <col min="3075" max="3075" width="11.7109375" bestFit="1" customWidth="1"/>
    <col min="3076" max="3076" width="11.85546875" bestFit="1" customWidth="1"/>
    <col min="3077" max="3077" width="12.7109375" bestFit="1" customWidth="1"/>
    <col min="3078" max="3078" width="12.140625" bestFit="1" customWidth="1"/>
    <col min="3079" max="3079" width="12.42578125" bestFit="1" customWidth="1"/>
    <col min="3080" max="3080" width="12.7109375" bestFit="1" customWidth="1"/>
    <col min="3081" max="3081" width="11.28515625" bestFit="1" customWidth="1"/>
    <col min="3082" max="3082" width="12.42578125" bestFit="1" customWidth="1"/>
    <col min="3083" max="3084" width="12.140625" bestFit="1" customWidth="1"/>
    <col min="3085" max="3086" width="12.42578125" bestFit="1" customWidth="1"/>
    <col min="3087" max="3087" width="13.5703125" bestFit="1" customWidth="1"/>
    <col min="3329" max="3329" width="11.42578125" customWidth="1"/>
    <col min="3330" max="3330" width="57" bestFit="1" customWidth="1"/>
    <col min="3331" max="3331" width="11.7109375" bestFit="1" customWidth="1"/>
    <col min="3332" max="3332" width="11.85546875" bestFit="1" customWidth="1"/>
    <col min="3333" max="3333" width="12.7109375" bestFit="1" customWidth="1"/>
    <col min="3334" max="3334" width="12.140625" bestFit="1" customWidth="1"/>
    <col min="3335" max="3335" width="12.42578125" bestFit="1" customWidth="1"/>
    <col min="3336" max="3336" width="12.7109375" bestFit="1" customWidth="1"/>
    <col min="3337" max="3337" width="11.28515625" bestFit="1" customWidth="1"/>
    <col min="3338" max="3338" width="12.42578125" bestFit="1" customWidth="1"/>
    <col min="3339" max="3340" width="12.140625" bestFit="1" customWidth="1"/>
    <col min="3341" max="3342" width="12.42578125" bestFit="1" customWidth="1"/>
    <col min="3343" max="3343" width="13.5703125" bestFit="1" customWidth="1"/>
    <col min="3585" max="3585" width="11.42578125" customWidth="1"/>
    <col min="3586" max="3586" width="57" bestFit="1" customWidth="1"/>
    <col min="3587" max="3587" width="11.7109375" bestFit="1" customWidth="1"/>
    <col min="3588" max="3588" width="11.85546875" bestFit="1" customWidth="1"/>
    <col min="3589" max="3589" width="12.7109375" bestFit="1" customWidth="1"/>
    <col min="3590" max="3590" width="12.140625" bestFit="1" customWidth="1"/>
    <col min="3591" max="3591" width="12.42578125" bestFit="1" customWidth="1"/>
    <col min="3592" max="3592" width="12.7109375" bestFit="1" customWidth="1"/>
    <col min="3593" max="3593" width="11.28515625" bestFit="1" customWidth="1"/>
    <col min="3594" max="3594" width="12.42578125" bestFit="1" customWidth="1"/>
    <col min="3595" max="3596" width="12.140625" bestFit="1" customWidth="1"/>
    <col min="3597" max="3598" width="12.42578125" bestFit="1" customWidth="1"/>
    <col min="3599" max="3599" width="13.5703125" bestFit="1" customWidth="1"/>
    <col min="3841" max="3841" width="11.42578125" customWidth="1"/>
    <col min="3842" max="3842" width="57" bestFit="1" customWidth="1"/>
    <col min="3843" max="3843" width="11.7109375" bestFit="1" customWidth="1"/>
    <col min="3844" max="3844" width="11.85546875" bestFit="1" customWidth="1"/>
    <col min="3845" max="3845" width="12.7109375" bestFit="1" customWidth="1"/>
    <col min="3846" max="3846" width="12.140625" bestFit="1" customWidth="1"/>
    <col min="3847" max="3847" width="12.42578125" bestFit="1" customWidth="1"/>
    <col min="3848" max="3848" width="12.7109375" bestFit="1" customWidth="1"/>
    <col min="3849" max="3849" width="11.28515625" bestFit="1" customWidth="1"/>
    <col min="3850" max="3850" width="12.42578125" bestFit="1" customWidth="1"/>
    <col min="3851" max="3852" width="12.140625" bestFit="1" customWidth="1"/>
    <col min="3853" max="3854" width="12.42578125" bestFit="1" customWidth="1"/>
    <col min="3855" max="3855" width="13.5703125" bestFit="1" customWidth="1"/>
    <col min="4097" max="4097" width="11.42578125" customWidth="1"/>
    <col min="4098" max="4098" width="57" bestFit="1" customWidth="1"/>
    <col min="4099" max="4099" width="11.7109375" bestFit="1" customWidth="1"/>
    <col min="4100" max="4100" width="11.85546875" bestFit="1" customWidth="1"/>
    <col min="4101" max="4101" width="12.7109375" bestFit="1" customWidth="1"/>
    <col min="4102" max="4102" width="12.140625" bestFit="1" customWidth="1"/>
    <col min="4103" max="4103" width="12.42578125" bestFit="1" customWidth="1"/>
    <col min="4104" max="4104" width="12.7109375" bestFit="1" customWidth="1"/>
    <col min="4105" max="4105" width="11.28515625" bestFit="1" customWidth="1"/>
    <col min="4106" max="4106" width="12.42578125" bestFit="1" customWidth="1"/>
    <col min="4107" max="4108" width="12.140625" bestFit="1" customWidth="1"/>
    <col min="4109" max="4110" width="12.42578125" bestFit="1" customWidth="1"/>
    <col min="4111" max="4111" width="13.5703125" bestFit="1" customWidth="1"/>
    <col min="4353" max="4353" width="11.42578125" customWidth="1"/>
    <col min="4354" max="4354" width="57" bestFit="1" customWidth="1"/>
    <col min="4355" max="4355" width="11.7109375" bestFit="1" customWidth="1"/>
    <col min="4356" max="4356" width="11.85546875" bestFit="1" customWidth="1"/>
    <col min="4357" max="4357" width="12.7109375" bestFit="1" customWidth="1"/>
    <col min="4358" max="4358" width="12.140625" bestFit="1" customWidth="1"/>
    <col min="4359" max="4359" width="12.42578125" bestFit="1" customWidth="1"/>
    <col min="4360" max="4360" width="12.7109375" bestFit="1" customWidth="1"/>
    <col min="4361" max="4361" width="11.28515625" bestFit="1" customWidth="1"/>
    <col min="4362" max="4362" width="12.42578125" bestFit="1" customWidth="1"/>
    <col min="4363" max="4364" width="12.140625" bestFit="1" customWidth="1"/>
    <col min="4365" max="4366" width="12.42578125" bestFit="1" customWidth="1"/>
    <col min="4367" max="4367" width="13.5703125" bestFit="1" customWidth="1"/>
    <col min="4609" max="4609" width="11.42578125" customWidth="1"/>
    <col min="4610" max="4610" width="57" bestFit="1" customWidth="1"/>
    <col min="4611" max="4611" width="11.7109375" bestFit="1" customWidth="1"/>
    <col min="4612" max="4612" width="11.85546875" bestFit="1" customWidth="1"/>
    <col min="4613" max="4613" width="12.7109375" bestFit="1" customWidth="1"/>
    <col min="4614" max="4614" width="12.140625" bestFit="1" customWidth="1"/>
    <col min="4615" max="4615" width="12.42578125" bestFit="1" customWidth="1"/>
    <col min="4616" max="4616" width="12.7109375" bestFit="1" customWidth="1"/>
    <col min="4617" max="4617" width="11.28515625" bestFit="1" customWidth="1"/>
    <col min="4618" max="4618" width="12.42578125" bestFit="1" customWidth="1"/>
    <col min="4619" max="4620" width="12.140625" bestFit="1" customWidth="1"/>
    <col min="4621" max="4622" width="12.42578125" bestFit="1" customWidth="1"/>
    <col min="4623" max="4623" width="13.5703125" bestFit="1" customWidth="1"/>
    <col min="4865" max="4865" width="11.42578125" customWidth="1"/>
    <col min="4866" max="4866" width="57" bestFit="1" customWidth="1"/>
    <col min="4867" max="4867" width="11.7109375" bestFit="1" customWidth="1"/>
    <col min="4868" max="4868" width="11.85546875" bestFit="1" customWidth="1"/>
    <col min="4869" max="4869" width="12.7109375" bestFit="1" customWidth="1"/>
    <col min="4870" max="4870" width="12.140625" bestFit="1" customWidth="1"/>
    <col min="4871" max="4871" width="12.42578125" bestFit="1" customWidth="1"/>
    <col min="4872" max="4872" width="12.7109375" bestFit="1" customWidth="1"/>
    <col min="4873" max="4873" width="11.28515625" bestFit="1" customWidth="1"/>
    <col min="4874" max="4874" width="12.42578125" bestFit="1" customWidth="1"/>
    <col min="4875" max="4876" width="12.140625" bestFit="1" customWidth="1"/>
    <col min="4877" max="4878" width="12.42578125" bestFit="1" customWidth="1"/>
    <col min="4879" max="4879" width="13.5703125" bestFit="1" customWidth="1"/>
    <col min="5121" max="5121" width="11.42578125" customWidth="1"/>
    <col min="5122" max="5122" width="57" bestFit="1" customWidth="1"/>
    <col min="5123" max="5123" width="11.7109375" bestFit="1" customWidth="1"/>
    <col min="5124" max="5124" width="11.85546875" bestFit="1" customWidth="1"/>
    <col min="5125" max="5125" width="12.7109375" bestFit="1" customWidth="1"/>
    <col min="5126" max="5126" width="12.140625" bestFit="1" customWidth="1"/>
    <col min="5127" max="5127" width="12.42578125" bestFit="1" customWidth="1"/>
    <col min="5128" max="5128" width="12.7109375" bestFit="1" customWidth="1"/>
    <col min="5129" max="5129" width="11.28515625" bestFit="1" customWidth="1"/>
    <col min="5130" max="5130" width="12.42578125" bestFit="1" customWidth="1"/>
    <col min="5131" max="5132" width="12.140625" bestFit="1" customWidth="1"/>
    <col min="5133" max="5134" width="12.42578125" bestFit="1" customWidth="1"/>
    <col min="5135" max="5135" width="13.5703125" bestFit="1" customWidth="1"/>
    <col min="5377" max="5377" width="11.42578125" customWidth="1"/>
    <col min="5378" max="5378" width="57" bestFit="1" customWidth="1"/>
    <col min="5379" max="5379" width="11.7109375" bestFit="1" customWidth="1"/>
    <col min="5380" max="5380" width="11.85546875" bestFit="1" customWidth="1"/>
    <col min="5381" max="5381" width="12.7109375" bestFit="1" customWidth="1"/>
    <col min="5382" max="5382" width="12.140625" bestFit="1" customWidth="1"/>
    <col min="5383" max="5383" width="12.42578125" bestFit="1" customWidth="1"/>
    <col min="5384" max="5384" width="12.7109375" bestFit="1" customWidth="1"/>
    <col min="5385" max="5385" width="11.28515625" bestFit="1" customWidth="1"/>
    <col min="5386" max="5386" width="12.42578125" bestFit="1" customWidth="1"/>
    <col min="5387" max="5388" width="12.140625" bestFit="1" customWidth="1"/>
    <col min="5389" max="5390" width="12.42578125" bestFit="1" customWidth="1"/>
    <col min="5391" max="5391" width="13.5703125" bestFit="1" customWidth="1"/>
    <col min="5633" max="5633" width="11.42578125" customWidth="1"/>
    <col min="5634" max="5634" width="57" bestFit="1" customWidth="1"/>
    <col min="5635" max="5635" width="11.7109375" bestFit="1" customWidth="1"/>
    <col min="5636" max="5636" width="11.85546875" bestFit="1" customWidth="1"/>
    <col min="5637" max="5637" width="12.7109375" bestFit="1" customWidth="1"/>
    <col min="5638" max="5638" width="12.140625" bestFit="1" customWidth="1"/>
    <col min="5639" max="5639" width="12.42578125" bestFit="1" customWidth="1"/>
    <col min="5640" max="5640" width="12.7109375" bestFit="1" customWidth="1"/>
    <col min="5641" max="5641" width="11.28515625" bestFit="1" customWidth="1"/>
    <col min="5642" max="5642" width="12.42578125" bestFit="1" customWidth="1"/>
    <col min="5643" max="5644" width="12.140625" bestFit="1" customWidth="1"/>
    <col min="5645" max="5646" width="12.42578125" bestFit="1" customWidth="1"/>
    <col min="5647" max="5647" width="13.5703125" bestFit="1" customWidth="1"/>
    <col min="5889" max="5889" width="11.42578125" customWidth="1"/>
    <col min="5890" max="5890" width="57" bestFit="1" customWidth="1"/>
    <col min="5891" max="5891" width="11.7109375" bestFit="1" customWidth="1"/>
    <col min="5892" max="5892" width="11.85546875" bestFit="1" customWidth="1"/>
    <col min="5893" max="5893" width="12.7109375" bestFit="1" customWidth="1"/>
    <col min="5894" max="5894" width="12.140625" bestFit="1" customWidth="1"/>
    <col min="5895" max="5895" width="12.42578125" bestFit="1" customWidth="1"/>
    <col min="5896" max="5896" width="12.7109375" bestFit="1" customWidth="1"/>
    <col min="5897" max="5897" width="11.28515625" bestFit="1" customWidth="1"/>
    <col min="5898" max="5898" width="12.42578125" bestFit="1" customWidth="1"/>
    <col min="5899" max="5900" width="12.140625" bestFit="1" customWidth="1"/>
    <col min="5901" max="5902" width="12.42578125" bestFit="1" customWidth="1"/>
    <col min="5903" max="5903" width="13.5703125" bestFit="1" customWidth="1"/>
    <col min="6145" max="6145" width="11.42578125" customWidth="1"/>
    <col min="6146" max="6146" width="57" bestFit="1" customWidth="1"/>
    <col min="6147" max="6147" width="11.7109375" bestFit="1" customWidth="1"/>
    <col min="6148" max="6148" width="11.85546875" bestFit="1" customWidth="1"/>
    <col min="6149" max="6149" width="12.7109375" bestFit="1" customWidth="1"/>
    <col min="6150" max="6150" width="12.140625" bestFit="1" customWidth="1"/>
    <col min="6151" max="6151" width="12.42578125" bestFit="1" customWidth="1"/>
    <col min="6152" max="6152" width="12.7109375" bestFit="1" customWidth="1"/>
    <col min="6153" max="6153" width="11.28515625" bestFit="1" customWidth="1"/>
    <col min="6154" max="6154" width="12.42578125" bestFit="1" customWidth="1"/>
    <col min="6155" max="6156" width="12.140625" bestFit="1" customWidth="1"/>
    <col min="6157" max="6158" width="12.42578125" bestFit="1" customWidth="1"/>
    <col min="6159" max="6159" width="13.5703125" bestFit="1" customWidth="1"/>
    <col min="6401" max="6401" width="11.42578125" customWidth="1"/>
    <col min="6402" max="6402" width="57" bestFit="1" customWidth="1"/>
    <col min="6403" max="6403" width="11.7109375" bestFit="1" customWidth="1"/>
    <col min="6404" max="6404" width="11.85546875" bestFit="1" customWidth="1"/>
    <col min="6405" max="6405" width="12.7109375" bestFit="1" customWidth="1"/>
    <col min="6406" max="6406" width="12.140625" bestFit="1" customWidth="1"/>
    <col min="6407" max="6407" width="12.42578125" bestFit="1" customWidth="1"/>
    <col min="6408" max="6408" width="12.7109375" bestFit="1" customWidth="1"/>
    <col min="6409" max="6409" width="11.28515625" bestFit="1" customWidth="1"/>
    <col min="6410" max="6410" width="12.42578125" bestFit="1" customWidth="1"/>
    <col min="6411" max="6412" width="12.140625" bestFit="1" customWidth="1"/>
    <col min="6413" max="6414" width="12.42578125" bestFit="1" customWidth="1"/>
    <col min="6415" max="6415" width="13.5703125" bestFit="1" customWidth="1"/>
    <col min="6657" max="6657" width="11.42578125" customWidth="1"/>
    <col min="6658" max="6658" width="57" bestFit="1" customWidth="1"/>
    <col min="6659" max="6659" width="11.7109375" bestFit="1" customWidth="1"/>
    <col min="6660" max="6660" width="11.85546875" bestFit="1" customWidth="1"/>
    <col min="6661" max="6661" width="12.7109375" bestFit="1" customWidth="1"/>
    <col min="6662" max="6662" width="12.140625" bestFit="1" customWidth="1"/>
    <col min="6663" max="6663" width="12.42578125" bestFit="1" customWidth="1"/>
    <col min="6664" max="6664" width="12.7109375" bestFit="1" customWidth="1"/>
    <col min="6665" max="6665" width="11.28515625" bestFit="1" customWidth="1"/>
    <col min="6666" max="6666" width="12.42578125" bestFit="1" customWidth="1"/>
    <col min="6667" max="6668" width="12.140625" bestFit="1" customWidth="1"/>
    <col min="6669" max="6670" width="12.42578125" bestFit="1" customWidth="1"/>
    <col min="6671" max="6671" width="13.5703125" bestFit="1" customWidth="1"/>
    <col min="6913" max="6913" width="11.42578125" customWidth="1"/>
    <col min="6914" max="6914" width="57" bestFit="1" customWidth="1"/>
    <col min="6915" max="6915" width="11.7109375" bestFit="1" customWidth="1"/>
    <col min="6916" max="6916" width="11.85546875" bestFit="1" customWidth="1"/>
    <col min="6917" max="6917" width="12.7109375" bestFit="1" customWidth="1"/>
    <col min="6918" max="6918" width="12.140625" bestFit="1" customWidth="1"/>
    <col min="6919" max="6919" width="12.42578125" bestFit="1" customWidth="1"/>
    <col min="6920" max="6920" width="12.7109375" bestFit="1" customWidth="1"/>
    <col min="6921" max="6921" width="11.28515625" bestFit="1" customWidth="1"/>
    <col min="6922" max="6922" width="12.42578125" bestFit="1" customWidth="1"/>
    <col min="6923" max="6924" width="12.140625" bestFit="1" customWidth="1"/>
    <col min="6925" max="6926" width="12.42578125" bestFit="1" customWidth="1"/>
    <col min="6927" max="6927" width="13.5703125" bestFit="1" customWidth="1"/>
    <col min="7169" max="7169" width="11.42578125" customWidth="1"/>
    <col min="7170" max="7170" width="57" bestFit="1" customWidth="1"/>
    <col min="7171" max="7171" width="11.7109375" bestFit="1" customWidth="1"/>
    <col min="7172" max="7172" width="11.85546875" bestFit="1" customWidth="1"/>
    <col min="7173" max="7173" width="12.7109375" bestFit="1" customWidth="1"/>
    <col min="7174" max="7174" width="12.140625" bestFit="1" customWidth="1"/>
    <col min="7175" max="7175" width="12.42578125" bestFit="1" customWidth="1"/>
    <col min="7176" max="7176" width="12.7109375" bestFit="1" customWidth="1"/>
    <col min="7177" max="7177" width="11.28515625" bestFit="1" customWidth="1"/>
    <col min="7178" max="7178" width="12.42578125" bestFit="1" customWidth="1"/>
    <col min="7179" max="7180" width="12.140625" bestFit="1" customWidth="1"/>
    <col min="7181" max="7182" width="12.42578125" bestFit="1" customWidth="1"/>
    <col min="7183" max="7183" width="13.5703125" bestFit="1" customWidth="1"/>
    <col min="7425" max="7425" width="11.42578125" customWidth="1"/>
    <col min="7426" max="7426" width="57" bestFit="1" customWidth="1"/>
    <col min="7427" max="7427" width="11.7109375" bestFit="1" customWidth="1"/>
    <col min="7428" max="7428" width="11.85546875" bestFit="1" customWidth="1"/>
    <col min="7429" max="7429" width="12.7109375" bestFit="1" customWidth="1"/>
    <col min="7430" max="7430" width="12.140625" bestFit="1" customWidth="1"/>
    <col min="7431" max="7431" width="12.42578125" bestFit="1" customWidth="1"/>
    <col min="7432" max="7432" width="12.7109375" bestFit="1" customWidth="1"/>
    <col min="7433" max="7433" width="11.28515625" bestFit="1" customWidth="1"/>
    <col min="7434" max="7434" width="12.42578125" bestFit="1" customWidth="1"/>
    <col min="7435" max="7436" width="12.140625" bestFit="1" customWidth="1"/>
    <col min="7437" max="7438" width="12.42578125" bestFit="1" customWidth="1"/>
    <col min="7439" max="7439" width="13.5703125" bestFit="1" customWidth="1"/>
    <col min="7681" max="7681" width="11.42578125" customWidth="1"/>
    <col min="7682" max="7682" width="57" bestFit="1" customWidth="1"/>
    <col min="7683" max="7683" width="11.7109375" bestFit="1" customWidth="1"/>
    <col min="7684" max="7684" width="11.85546875" bestFit="1" customWidth="1"/>
    <col min="7685" max="7685" width="12.7109375" bestFit="1" customWidth="1"/>
    <col min="7686" max="7686" width="12.140625" bestFit="1" customWidth="1"/>
    <col min="7687" max="7687" width="12.42578125" bestFit="1" customWidth="1"/>
    <col min="7688" max="7688" width="12.7109375" bestFit="1" customWidth="1"/>
    <col min="7689" max="7689" width="11.28515625" bestFit="1" customWidth="1"/>
    <col min="7690" max="7690" width="12.42578125" bestFit="1" customWidth="1"/>
    <col min="7691" max="7692" width="12.140625" bestFit="1" customWidth="1"/>
    <col min="7693" max="7694" width="12.42578125" bestFit="1" customWidth="1"/>
    <col min="7695" max="7695" width="13.5703125" bestFit="1" customWidth="1"/>
    <col min="7937" max="7937" width="11.42578125" customWidth="1"/>
    <col min="7938" max="7938" width="57" bestFit="1" customWidth="1"/>
    <col min="7939" max="7939" width="11.7109375" bestFit="1" customWidth="1"/>
    <col min="7940" max="7940" width="11.85546875" bestFit="1" customWidth="1"/>
    <col min="7941" max="7941" width="12.7109375" bestFit="1" customWidth="1"/>
    <col min="7942" max="7942" width="12.140625" bestFit="1" customWidth="1"/>
    <col min="7943" max="7943" width="12.42578125" bestFit="1" customWidth="1"/>
    <col min="7944" max="7944" width="12.7109375" bestFit="1" customWidth="1"/>
    <col min="7945" max="7945" width="11.28515625" bestFit="1" customWidth="1"/>
    <col min="7946" max="7946" width="12.42578125" bestFit="1" customWidth="1"/>
    <col min="7947" max="7948" width="12.140625" bestFit="1" customWidth="1"/>
    <col min="7949" max="7950" width="12.42578125" bestFit="1" customWidth="1"/>
    <col min="7951" max="7951" width="13.5703125" bestFit="1" customWidth="1"/>
    <col min="8193" max="8193" width="11.42578125" customWidth="1"/>
    <col min="8194" max="8194" width="57" bestFit="1" customWidth="1"/>
    <col min="8195" max="8195" width="11.7109375" bestFit="1" customWidth="1"/>
    <col min="8196" max="8196" width="11.85546875" bestFit="1" customWidth="1"/>
    <col min="8197" max="8197" width="12.7109375" bestFit="1" customWidth="1"/>
    <col min="8198" max="8198" width="12.140625" bestFit="1" customWidth="1"/>
    <col min="8199" max="8199" width="12.42578125" bestFit="1" customWidth="1"/>
    <col min="8200" max="8200" width="12.7109375" bestFit="1" customWidth="1"/>
    <col min="8201" max="8201" width="11.28515625" bestFit="1" customWidth="1"/>
    <col min="8202" max="8202" width="12.42578125" bestFit="1" customWidth="1"/>
    <col min="8203" max="8204" width="12.140625" bestFit="1" customWidth="1"/>
    <col min="8205" max="8206" width="12.42578125" bestFit="1" customWidth="1"/>
    <col min="8207" max="8207" width="13.5703125" bestFit="1" customWidth="1"/>
    <col min="8449" max="8449" width="11.42578125" customWidth="1"/>
    <col min="8450" max="8450" width="57" bestFit="1" customWidth="1"/>
    <col min="8451" max="8451" width="11.7109375" bestFit="1" customWidth="1"/>
    <col min="8452" max="8452" width="11.85546875" bestFit="1" customWidth="1"/>
    <col min="8453" max="8453" width="12.7109375" bestFit="1" customWidth="1"/>
    <col min="8454" max="8454" width="12.140625" bestFit="1" customWidth="1"/>
    <col min="8455" max="8455" width="12.42578125" bestFit="1" customWidth="1"/>
    <col min="8456" max="8456" width="12.7109375" bestFit="1" customWidth="1"/>
    <col min="8457" max="8457" width="11.28515625" bestFit="1" customWidth="1"/>
    <col min="8458" max="8458" width="12.42578125" bestFit="1" customWidth="1"/>
    <col min="8459" max="8460" width="12.140625" bestFit="1" customWidth="1"/>
    <col min="8461" max="8462" width="12.42578125" bestFit="1" customWidth="1"/>
    <col min="8463" max="8463" width="13.5703125" bestFit="1" customWidth="1"/>
    <col min="8705" max="8705" width="11.42578125" customWidth="1"/>
    <col min="8706" max="8706" width="57" bestFit="1" customWidth="1"/>
    <col min="8707" max="8707" width="11.7109375" bestFit="1" customWidth="1"/>
    <col min="8708" max="8708" width="11.85546875" bestFit="1" customWidth="1"/>
    <col min="8709" max="8709" width="12.7109375" bestFit="1" customWidth="1"/>
    <col min="8710" max="8710" width="12.140625" bestFit="1" customWidth="1"/>
    <col min="8711" max="8711" width="12.42578125" bestFit="1" customWidth="1"/>
    <col min="8712" max="8712" width="12.7109375" bestFit="1" customWidth="1"/>
    <col min="8713" max="8713" width="11.28515625" bestFit="1" customWidth="1"/>
    <col min="8714" max="8714" width="12.42578125" bestFit="1" customWidth="1"/>
    <col min="8715" max="8716" width="12.140625" bestFit="1" customWidth="1"/>
    <col min="8717" max="8718" width="12.42578125" bestFit="1" customWidth="1"/>
    <col min="8719" max="8719" width="13.5703125" bestFit="1" customWidth="1"/>
    <col min="8961" max="8961" width="11.42578125" customWidth="1"/>
    <col min="8962" max="8962" width="57" bestFit="1" customWidth="1"/>
    <col min="8963" max="8963" width="11.7109375" bestFit="1" customWidth="1"/>
    <col min="8964" max="8964" width="11.85546875" bestFit="1" customWidth="1"/>
    <col min="8965" max="8965" width="12.7109375" bestFit="1" customWidth="1"/>
    <col min="8966" max="8966" width="12.140625" bestFit="1" customWidth="1"/>
    <col min="8967" max="8967" width="12.42578125" bestFit="1" customWidth="1"/>
    <col min="8968" max="8968" width="12.7109375" bestFit="1" customWidth="1"/>
    <col min="8969" max="8969" width="11.28515625" bestFit="1" customWidth="1"/>
    <col min="8970" max="8970" width="12.42578125" bestFit="1" customWidth="1"/>
    <col min="8971" max="8972" width="12.140625" bestFit="1" customWidth="1"/>
    <col min="8973" max="8974" width="12.42578125" bestFit="1" customWidth="1"/>
    <col min="8975" max="8975" width="13.5703125" bestFit="1" customWidth="1"/>
    <col min="9217" max="9217" width="11.42578125" customWidth="1"/>
    <col min="9218" max="9218" width="57" bestFit="1" customWidth="1"/>
    <col min="9219" max="9219" width="11.7109375" bestFit="1" customWidth="1"/>
    <col min="9220" max="9220" width="11.85546875" bestFit="1" customWidth="1"/>
    <col min="9221" max="9221" width="12.7109375" bestFit="1" customWidth="1"/>
    <col min="9222" max="9222" width="12.140625" bestFit="1" customWidth="1"/>
    <col min="9223" max="9223" width="12.42578125" bestFit="1" customWidth="1"/>
    <col min="9224" max="9224" width="12.7109375" bestFit="1" customWidth="1"/>
    <col min="9225" max="9225" width="11.28515625" bestFit="1" customWidth="1"/>
    <col min="9226" max="9226" width="12.42578125" bestFit="1" customWidth="1"/>
    <col min="9227" max="9228" width="12.140625" bestFit="1" customWidth="1"/>
    <col min="9229" max="9230" width="12.42578125" bestFit="1" customWidth="1"/>
    <col min="9231" max="9231" width="13.5703125" bestFit="1" customWidth="1"/>
    <col min="9473" max="9473" width="11.42578125" customWidth="1"/>
    <col min="9474" max="9474" width="57" bestFit="1" customWidth="1"/>
    <col min="9475" max="9475" width="11.7109375" bestFit="1" customWidth="1"/>
    <col min="9476" max="9476" width="11.85546875" bestFit="1" customWidth="1"/>
    <col min="9477" max="9477" width="12.7109375" bestFit="1" customWidth="1"/>
    <col min="9478" max="9478" width="12.140625" bestFit="1" customWidth="1"/>
    <col min="9479" max="9479" width="12.42578125" bestFit="1" customWidth="1"/>
    <col min="9480" max="9480" width="12.7109375" bestFit="1" customWidth="1"/>
    <col min="9481" max="9481" width="11.28515625" bestFit="1" customWidth="1"/>
    <col min="9482" max="9482" width="12.42578125" bestFit="1" customWidth="1"/>
    <col min="9483" max="9484" width="12.140625" bestFit="1" customWidth="1"/>
    <col min="9485" max="9486" width="12.42578125" bestFit="1" customWidth="1"/>
    <col min="9487" max="9487" width="13.5703125" bestFit="1" customWidth="1"/>
    <col min="9729" max="9729" width="11.42578125" customWidth="1"/>
    <col min="9730" max="9730" width="57" bestFit="1" customWidth="1"/>
    <col min="9731" max="9731" width="11.7109375" bestFit="1" customWidth="1"/>
    <col min="9732" max="9732" width="11.85546875" bestFit="1" customWidth="1"/>
    <col min="9733" max="9733" width="12.7109375" bestFit="1" customWidth="1"/>
    <col min="9734" max="9734" width="12.140625" bestFit="1" customWidth="1"/>
    <col min="9735" max="9735" width="12.42578125" bestFit="1" customWidth="1"/>
    <col min="9736" max="9736" width="12.7109375" bestFit="1" customWidth="1"/>
    <col min="9737" max="9737" width="11.28515625" bestFit="1" customWidth="1"/>
    <col min="9738" max="9738" width="12.42578125" bestFit="1" customWidth="1"/>
    <col min="9739" max="9740" width="12.140625" bestFit="1" customWidth="1"/>
    <col min="9741" max="9742" width="12.42578125" bestFit="1" customWidth="1"/>
    <col min="9743" max="9743" width="13.5703125" bestFit="1" customWidth="1"/>
    <col min="9985" max="9985" width="11.42578125" customWidth="1"/>
    <col min="9986" max="9986" width="57" bestFit="1" customWidth="1"/>
    <col min="9987" max="9987" width="11.7109375" bestFit="1" customWidth="1"/>
    <col min="9988" max="9988" width="11.85546875" bestFit="1" customWidth="1"/>
    <col min="9989" max="9989" width="12.7109375" bestFit="1" customWidth="1"/>
    <col min="9990" max="9990" width="12.140625" bestFit="1" customWidth="1"/>
    <col min="9991" max="9991" width="12.42578125" bestFit="1" customWidth="1"/>
    <col min="9992" max="9992" width="12.7109375" bestFit="1" customWidth="1"/>
    <col min="9993" max="9993" width="11.28515625" bestFit="1" customWidth="1"/>
    <col min="9994" max="9994" width="12.42578125" bestFit="1" customWidth="1"/>
    <col min="9995" max="9996" width="12.140625" bestFit="1" customWidth="1"/>
    <col min="9997" max="9998" width="12.42578125" bestFit="1" customWidth="1"/>
    <col min="9999" max="9999" width="13.5703125" bestFit="1" customWidth="1"/>
    <col min="10241" max="10241" width="11.42578125" customWidth="1"/>
    <col min="10242" max="10242" width="57" bestFit="1" customWidth="1"/>
    <col min="10243" max="10243" width="11.7109375" bestFit="1" customWidth="1"/>
    <col min="10244" max="10244" width="11.85546875" bestFit="1" customWidth="1"/>
    <col min="10245" max="10245" width="12.7109375" bestFit="1" customWidth="1"/>
    <col min="10246" max="10246" width="12.140625" bestFit="1" customWidth="1"/>
    <col min="10247" max="10247" width="12.42578125" bestFit="1" customWidth="1"/>
    <col min="10248" max="10248" width="12.7109375" bestFit="1" customWidth="1"/>
    <col min="10249" max="10249" width="11.28515625" bestFit="1" customWidth="1"/>
    <col min="10250" max="10250" width="12.42578125" bestFit="1" customWidth="1"/>
    <col min="10251" max="10252" width="12.140625" bestFit="1" customWidth="1"/>
    <col min="10253" max="10254" width="12.42578125" bestFit="1" customWidth="1"/>
    <col min="10255" max="10255" width="13.5703125" bestFit="1" customWidth="1"/>
    <col min="10497" max="10497" width="11.42578125" customWidth="1"/>
    <col min="10498" max="10498" width="57" bestFit="1" customWidth="1"/>
    <col min="10499" max="10499" width="11.7109375" bestFit="1" customWidth="1"/>
    <col min="10500" max="10500" width="11.85546875" bestFit="1" customWidth="1"/>
    <col min="10501" max="10501" width="12.7109375" bestFit="1" customWidth="1"/>
    <col min="10502" max="10502" width="12.140625" bestFit="1" customWidth="1"/>
    <col min="10503" max="10503" width="12.42578125" bestFit="1" customWidth="1"/>
    <col min="10504" max="10504" width="12.7109375" bestFit="1" customWidth="1"/>
    <col min="10505" max="10505" width="11.28515625" bestFit="1" customWidth="1"/>
    <col min="10506" max="10506" width="12.42578125" bestFit="1" customWidth="1"/>
    <col min="10507" max="10508" width="12.140625" bestFit="1" customWidth="1"/>
    <col min="10509" max="10510" width="12.42578125" bestFit="1" customWidth="1"/>
    <col min="10511" max="10511" width="13.5703125" bestFit="1" customWidth="1"/>
    <col min="10753" max="10753" width="11.42578125" customWidth="1"/>
    <col min="10754" max="10754" width="57" bestFit="1" customWidth="1"/>
    <col min="10755" max="10755" width="11.7109375" bestFit="1" customWidth="1"/>
    <col min="10756" max="10756" width="11.85546875" bestFit="1" customWidth="1"/>
    <col min="10757" max="10757" width="12.7109375" bestFit="1" customWidth="1"/>
    <col min="10758" max="10758" width="12.140625" bestFit="1" customWidth="1"/>
    <col min="10759" max="10759" width="12.42578125" bestFit="1" customWidth="1"/>
    <col min="10760" max="10760" width="12.7109375" bestFit="1" customWidth="1"/>
    <col min="10761" max="10761" width="11.28515625" bestFit="1" customWidth="1"/>
    <col min="10762" max="10762" width="12.42578125" bestFit="1" customWidth="1"/>
    <col min="10763" max="10764" width="12.140625" bestFit="1" customWidth="1"/>
    <col min="10765" max="10766" width="12.42578125" bestFit="1" customWidth="1"/>
    <col min="10767" max="10767" width="13.5703125" bestFit="1" customWidth="1"/>
    <col min="11009" max="11009" width="11.42578125" customWidth="1"/>
    <col min="11010" max="11010" width="57" bestFit="1" customWidth="1"/>
    <col min="11011" max="11011" width="11.7109375" bestFit="1" customWidth="1"/>
    <col min="11012" max="11012" width="11.85546875" bestFit="1" customWidth="1"/>
    <col min="11013" max="11013" width="12.7109375" bestFit="1" customWidth="1"/>
    <col min="11014" max="11014" width="12.140625" bestFit="1" customWidth="1"/>
    <col min="11015" max="11015" width="12.42578125" bestFit="1" customWidth="1"/>
    <col min="11016" max="11016" width="12.7109375" bestFit="1" customWidth="1"/>
    <col min="11017" max="11017" width="11.28515625" bestFit="1" customWidth="1"/>
    <col min="11018" max="11018" width="12.42578125" bestFit="1" customWidth="1"/>
    <col min="11019" max="11020" width="12.140625" bestFit="1" customWidth="1"/>
    <col min="11021" max="11022" width="12.42578125" bestFit="1" customWidth="1"/>
    <col min="11023" max="11023" width="13.5703125" bestFit="1" customWidth="1"/>
    <col min="11265" max="11265" width="11.42578125" customWidth="1"/>
    <col min="11266" max="11266" width="57" bestFit="1" customWidth="1"/>
    <col min="11267" max="11267" width="11.7109375" bestFit="1" customWidth="1"/>
    <col min="11268" max="11268" width="11.85546875" bestFit="1" customWidth="1"/>
    <col min="11269" max="11269" width="12.7109375" bestFit="1" customWidth="1"/>
    <col min="11270" max="11270" width="12.140625" bestFit="1" customWidth="1"/>
    <col min="11271" max="11271" width="12.42578125" bestFit="1" customWidth="1"/>
    <col min="11272" max="11272" width="12.7109375" bestFit="1" customWidth="1"/>
    <col min="11273" max="11273" width="11.28515625" bestFit="1" customWidth="1"/>
    <col min="11274" max="11274" width="12.42578125" bestFit="1" customWidth="1"/>
    <col min="11275" max="11276" width="12.140625" bestFit="1" customWidth="1"/>
    <col min="11277" max="11278" width="12.42578125" bestFit="1" customWidth="1"/>
    <col min="11279" max="11279" width="13.5703125" bestFit="1" customWidth="1"/>
    <col min="11521" max="11521" width="11.42578125" customWidth="1"/>
    <col min="11522" max="11522" width="57" bestFit="1" customWidth="1"/>
    <col min="11523" max="11523" width="11.7109375" bestFit="1" customWidth="1"/>
    <col min="11524" max="11524" width="11.85546875" bestFit="1" customWidth="1"/>
    <col min="11525" max="11525" width="12.7109375" bestFit="1" customWidth="1"/>
    <col min="11526" max="11526" width="12.140625" bestFit="1" customWidth="1"/>
    <col min="11527" max="11527" width="12.42578125" bestFit="1" customWidth="1"/>
    <col min="11528" max="11528" width="12.7109375" bestFit="1" customWidth="1"/>
    <col min="11529" max="11529" width="11.28515625" bestFit="1" customWidth="1"/>
    <col min="11530" max="11530" width="12.42578125" bestFit="1" customWidth="1"/>
    <col min="11531" max="11532" width="12.140625" bestFit="1" customWidth="1"/>
    <col min="11533" max="11534" width="12.42578125" bestFit="1" customWidth="1"/>
    <col min="11535" max="11535" width="13.5703125" bestFit="1" customWidth="1"/>
    <col min="11777" max="11777" width="11.42578125" customWidth="1"/>
    <col min="11778" max="11778" width="57" bestFit="1" customWidth="1"/>
    <col min="11779" max="11779" width="11.7109375" bestFit="1" customWidth="1"/>
    <col min="11780" max="11780" width="11.85546875" bestFit="1" customWidth="1"/>
    <col min="11781" max="11781" width="12.7109375" bestFit="1" customWidth="1"/>
    <col min="11782" max="11782" width="12.140625" bestFit="1" customWidth="1"/>
    <col min="11783" max="11783" width="12.42578125" bestFit="1" customWidth="1"/>
    <col min="11784" max="11784" width="12.7109375" bestFit="1" customWidth="1"/>
    <col min="11785" max="11785" width="11.28515625" bestFit="1" customWidth="1"/>
    <col min="11786" max="11786" width="12.42578125" bestFit="1" customWidth="1"/>
    <col min="11787" max="11788" width="12.140625" bestFit="1" customWidth="1"/>
    <col min="11789" max="11790" width="12.42578125" bestFit="1" customWidth="1"/>
    <col min="11791" max="11791" width="13.5703125" bestFit="1" customWidth="1"/>
    <col min="12033" max="12033" width="11.42578125" customWidth="1"/>
    <col min="12034" max="12034" width="57" bestFit="1" customWidth="1"/>
    <col min="12035" max="12035" width="11.7109375" bestFit="1" customWidth="1"/>
    <col min="12036" max="12036" width="11.85546875" bestFit="1" customWidth="1"/>
    <col min="12037" max="12037" width="12.7109375" bestFit="1" customWidth="1"/>
    <col min="12038" max="12038" width="12.140625" bestFit="1" customWidth="1"/>
    <col min="12039" max="12039" width="12.42578125" bestFit="1" customWidth="1"/>
    <col min="12040" max="12040" width="12.7109375" bestFit="1" customWidth="1"/>
    <col min="12041" max="12041" width="11.28515625" bestFit="1" customWidth="1"/>
    <col min="12042" max="12042" width="12.42578125" bestFit="1" customWidth="1"/>
    <col min="12043" max="12044" width="12.140625" bestFit="1" customWidth="1"/>
    <col min="12045" max="12046" width="12.42578125" bestFit="1" customWidth="1"/>
    <col min="12047" max="12047" width="13.5703125" bestFit="1" customWidth="1"/>
    <col min="12289" max="12289" width="11.42578125" customWidth="1"/>
    <col min="12290" max="12290" width="57" bestFit="1" customWidth="1"/>
    <col min="12291" max="12291" width="11.7109375" bestFit="1" customWidth="1"/>
    <col min="12292" max="12292" width="11.85546875" bestFit="1" customWidth="1"/>
    <col min="12293" max="12293" width="12.7109375" bestFit="1" customWidth="1"/>
    <col min="12294" max="12294" width="12.140625" bestFit="1" customWidth="1"/>
    <col min="12295" max="12295" width="12.42578125" bestFit="1" customWidth="1"/>
    <col min="12296" max="12296" width="12.7109375" bestFit="1" customWidth="1"/>
    <col min="12297" max="12297" width="11.28515625" bestFit="1" customWidth="1"/>
    <col min="12298" max="12298" width="12.42578125" bestFit="1" customWidth="1"/>
    <col min="12299" max="12300" width="12.140625" bestFit="1" customWidth="1"/>
    <col min="12301" max="12302" width="12.42578125" bestFit="1" customWidth="1"/>
    <col min="12303" max="12303" width="13.5703125" bestFit="1" customWidth="1"/>
    <col min="12545" max="12545" width="11.42578125" customWidth="1"/>
    <col min="12546" max="12546" width="57" bestFit="1" customWidth="1"/>
    <col min="12547" max="12547" width="11.7109375" bestFit="1" customWidth="1"/>
    <col min="12548" max="12548" width="11.85546875" bestFit="1" customWidth="1"/>
    <col min="12549" max="12549" width="12.7109375" bestFit="1" customWidth="1"/>
    <col min="12550" max="12550" width="12.140625" bestFit="1" customWidth="1"/>
    <col min="12551" max="12551" width="12.42578125" bestFit="1" customWidth="1"/>
    <col min="12552" max="12552" width="12.7109375" bestFit="1" customWidth="1"/>
    <col min="12553" max="12553" width="11.28515625" bestFit="1" customWidth="1"/>
    <col min="12554" max="12554" width="12.42578125" bestFit="1" customWidth="1"/>
    <col min="12555" max="12556" width="12.140625" bestFit="1" customWidth="1"/>
    <col min="12557" max="12558" width="12.42578125" bestFit="1" customWidth="1"/>
    <col min="12559" max="12559" width="13.5703125" bestFit="1" customWidth="1"/>
    <col min="12801" max="12801" width="11.42578125" customWidth="1"/>
    <col min="12802" max="12802" width="57" bestFit="1" customWidth="1"/>
    <col min="12803" max="12803" width="11.7109375" bestFit="1" customWidth="1"/>
    <col min="12804" max="12804" width="11.85546875" bestFit="1" customWidth="1"/>
    <col min="12805" max="12805" width="12.7109375" bestFit="1" customWidth="1"/>
    <col min="12806" max="12806" width="12.140625" bestFit="1" customWidth="1"/>
    <col min="12807" max="12807" width="12.42578125" bestFit="1" customWidth="1"/>
    <col min="12808" max="12808" width="12.7109375" bestFit="1" customWidth="1"/>
    <col min="12809" max="12809" width="11.28515625" bestFit="1" customWidth="1"/>
    <col min="12810" max="12810" width="12.42578125" bestFit="1" customWidth="1"/>
    <col min="12811" max="12812" width="12.140625" bestFit="1" customWidth="1"/>
    <col min="12813" max="12814" width="12.42578125" bestFit="1" customWidth="1"/>
    <col min="12815" max="12815" width="13.5703125" bestFit="1" customWidth="1"/>
    <col min="13057" max="13057" width="11.42578125" customWidth="1"/>
    <col min="13058" max="13058" width="57" bestFit="1" customWidth="1"/>
    <col min="13059" max="13059" width="11.7109375" bestFit="1" customWidth="1"/>
    <col min="13060" max="13060" width="11.85546875" bestFit="1" customWidth="1"/>
    <col min="13061" max="13061" width="12.7109375" bestFit="1" customWidth="1"/>
    <col min="13062" max="13062" width="12.140625" bestFit="1" customWidth="1"/>
    <col min="13063" max="13063" width="12.42578125" bestFit="1" customWidth="1"/>
    <col min="13064" max="13064" width="12.7109375" bestFit="1" customWidth="1"/>
    <col min="13065" max="13065" width="11.28515625" bestFit="1" customWidth="1"/>
    <col min="13066" max="13066" width="12.42578125" bestFit="1" customWidth="1"/>
    <col min="13067" max="13068" width="12.140625" bestFit="1" customWidth="1"/>
    <col min="13069" max="13070" width="12.42578125" bestFit="1" customWidth="1"/>
    <col min="13071" max="13071" width="13.5703125" bestFit="1" customWidth="1"/>
    <col min="13313" max="13313" width="11.42578125" customWidth="1"/>
    <col min="13314" max="13314" width="57" bestFit="1" customWidth="1"/>
    <col min="13315" max="13315" width="11.7109375" bestFit="1" customWidth="1"/>
    <col min="13316" max="13316" width="11.85546875" bestFit="1" customWidth="1"/>
    <col min="13317" max="13317" width="12.7109375" bestFit="1" customWidth="1"/>
    <col min="13318" max="13318" width="12.140625" bestFit="1" customWidth="1"/>
    <col min="13319" max="13319" width="12.42578125" bestFit="1" customWidth="1"/>
    <col min="13320" max="13320" width="12.7109375" bestFit="1" customWidth="1"/>
    <col min="13321" max="13321" width="11.28515625" bestFit="1" customWidth="1"/>
    <col min="13322" max="13322" width="12.42578125" bestFit="1" customWidth="1"/>
    <col min="13323" max="13324" width="12.140625" bestFit="1" customWidth="1"/>
    <col min="13325" max="13326" width="12.42578125" bestFit="1" customWidth="1"/>
    <col min="13327" max="13327" width="13.5703125" bestFit="1" customWidth="1"/>
    <col min="13569" max="13569" width="11.42578125" customWidth="1"/>
    <col min="13570" max="13570" width="57" bestFit="1" customWidth="1"/>
    <col min="13571" max="13571" width="11.7109375" bestFit="1" customWidth="1"/>
    <col min="13572" max="13572" width="11.85546875" bestFit="1" customWidth="1"/>
    <col min="13573" max="13573" width="12.7109375" bestFit="1" customWidth="1"/>
    <col min="13574" max="13574" width="12.140625" bestFit="1" customWidth="1"/>
    <col min="13575" max="13575" width="12.42578125" bestFit="1" customWidth="1"/>
    <col min="13576" max="13576" width="12.7109375" bestFit="1" customWidth="1"/>
    <col min="13577" max="13577" width="11.28515625" bestFit="1" customWidth="1"/>
    <col min="13578" max="13578" width="12.42578125" bestFit="1" customWidth="1"/>
    <col min="13579" max="13580" width="12.140625" bestFit="1" customWidth="1"/>
    <col min="13581" max="13582" width="12.42578125" bestFit="1" customWidth="1"/>
    <col min="13583" max="13583" width="13.5703125" bestFit="1" customWidth="1"/>
    <col min="13825" max="13825" width="11.42578125" customWidth="1"/>
    <col min="13826" max="13826" width="57" bestFit="1" customWidth="1"/>
    <col min="13827" max="13827" width="11.7109375" bestFit="1" customWidth="1"/>
    <col min="13828" max="13828" width="11.85546875" bestFit="1" customWidth="1"/>
    <col min="13829" max="13829" width="12.7109375" bestFit="1" customWidth="1"/>
    <col min="13830" max="13830" width="12.140625" bestFit="1" customWidth="1"/>
    <col min="13831" max="13831" width="12.42578125" bestFit="1" customWidth="1"/>
    <col min="13832" max="13832" width="12.7109375" bestFit="1" customWidth="1"/>
    <col min="13833" max="13833" width="11.28515625" bestFit="1" customWidth="1"/>
    <col min="13834" max="13834" width="12.42578125" bestFit="1" customWidth="1"/>
    <col min="13835" max="13836" width="12.140625" bestFit="1" customWidth="1"/>
    <col min="13837" max="13838" width="12.42578125" bestFit="1" customWidth="1"/>
    <col min="13839" max="13839" width="13.5703125" bestFit="1" customWidth="1"/>
    <col min="14081" max="14081" width="11.42578125" customWidth="1"/>
    <col min="14082" max="14082" width="57" bestFit="1" customWidth="1"/>
    <col min="14083" max="14083" width="11.7109375" bestFit="1" customWidth="1"/>
    <col min="14084" max="14084" width="11.85546875" bestFit="1" customWidth="1"/>
    <col min="14085" max="14085" width="12.7109375" bestFit="1" customWidth="1"/>
    <col min="14086" max="14086" width="12.140625" bestFit="1" customWidth="1"/>
    <col min="14087" max="14087" width="12.42578125" bestFit="1" customWidth="1"/>
    <col min="14088" max="14088" width="12.7109375" bestFit="1" customWidth="1"/>
    <col min="14089" max="14089" width="11.28515625" bestFit="1" customWidth="1"/>
    <col min="14090" max="14090" width="12.42578125" bestFit="1" customWidth="1"/>
    <col min="14091" max="14092" width="12.140625" bestFit="1" customWidth="1"/>
    <col min="14093" max="14094" width="12.42578125" bestFit="1" customWidth="1"/>
    <col min="14095" max="14095" width="13.5703125" bestFit="1" customWidth="1"/>
    <col min="14337" max="14337" width="11.42578125" customWidth="1"/>
    <col min="14338" max="14338" width="57" bestFit="1" customWidth="1"/>
    <col min="14339" max="14339" width="11.7109375" bestFit="1" customWidth="1"/>
    <col min="14340" max="14340" width="11.85546875" bestFit="1" customWidth="1"/>
    <col min="14341" max="14341" width="12.7109375" bestFit="1" customWidth="1"/>
    <col min="14342" max="14342" width="12.140625" bestFit="1" customWidth="1"/>
    <col min="14343" max="14343" width="12.42578125" bestFit="1" customWidth="1"/>
    <col min="14344" max="14344" width="12.7109375" bestFit="1" customWidth="1"/>
    <col min="14345" max="14345" width="11.28515625" bestFit="1" customWidth="1"/>
    <col min="14346" max="14346" width="12.42578125" bestFit="1" customWidth="1"/>
    <col min="14347" max="14348" width="12.140625" bestFit="1" customWidth="1"/>
    <col min="14349" max="14350" width="12.42578125" bestFit="1" customWidth="1"/>
    <col min="14351" max="14351" width="13.5703125" bestFit="1" customWidth="1"/>
    <col min="14593" max="14593" width="11.42578125" customWidth="1"/>
    <col min="14594" max="14594" width="57" bestFit="1" customWidth="1"/>
    <col min="14595" max="14595" width="11.7109375" bestFit="1" customWidth="1"/>
    <col min="14596" max="14596" width="11.85546875" bestFit="1" customWidth="1"/>
    <col min="14597" max="14597" width="12.7109375" bestFit="1" customWidth="1"/>
    <col min="14598" max="14598" width="12.140625" bestFit="1" customWidth="1"/>
    <col min="14599" max="14599" width="12.42578125" bestFit="1" customWidth="1"/>
    <col min="14600" max="14600" width="12.7109375" bestFit="1" customWidth="1"/>
    <col min="14601" max="14601" width="11.28515625" bestFit="1" customWidth="1"/>
    <col min="14602" max="14602" width="12.42578125" bestFit="1" customWidth="1"/>
    <col min="14603" max="14604" width="12.140625" bestFit="1" customWidth="1"/>
    <col min="14605" max="14606" width="12.42578125" bestFit="1" customWidth="1"/>
    <col min="14607" max="14607" width="13.5703125" bestFit="1" customWidth="1"/>
    <col min="14849" max="14849" width="11.42578125" customWidth="1"/>
    <col min="14850" max="14850" width="57" bestFit="1" customWidth="1"/>
    <col min="14851" max="14851" width="11.7109375" bestFit="1" customWidth="1"/>
    <col min="14852" max="14852" width="11.85546875" bestFit="1" customWidth="1"/>
    <col min="14853" max="14853" width="12.7109375" bestFit="1" customWidth="1"/>
    <col min="14854" max="14854" width="12.140625" bestFit="1" customWidth="1"/>
    <col min="14855" max="14855" width="12.42578125" bestFit="1" customWidth="1"/>
    <col min="14856" max="14856" width="12.7109375" bestFit="1" customWidth="1"/>
    <col min="14857" max="14857" width="11.28515625" bestFit="1" customWidth="1"/>
    <col min="14858" max="14858" width="12.42578125" bestFit="1" customWidth="1"/>
    <col min="14859" max="14860" width="12.140625" bestFit="1" customWidth="1"/>
    <col min="14861" max="14862" width="12.42578125" bestFit="1" customWidth="1"/>
    <col min="14863" max="14863" width="13.5703125" bestFit="1" customWidth="1"/>
    <col min="15105" max="15105" width="11.42578125" customWidth="1"/>
    <col min="15106" max="15106" width="57" bestFit="1" customWidth="1"/>
    <col min="15107" max="15107" width="11.7109375" bestFit="1" customWidth="1"/>
    <col min="15108" max="15108" width="11.85546875" bestFit="1" customWidth="1"/>
    <col min="15109" max="15109" width="12.7109375" bestFit="1" customWidth="1"/>
    <col min="15110" max="15110" width="12.140625" bestFit="1" customWidth="1"/>
    <col min="15111" max="15111" width="12.42578125" bestFit="1" customWidth="1"/>
    <col min="15112" max="15112" width="12.7109375" bestFit="1" customWidth="1"/>
    <col min="15113" max="15113" width="11.28515625" bestFit="1" customWidth="1"/>
    <col min="15114" max="15114" width="12.42578125" bestFit="1" customWidth="1"/>
    <col min="15115" max="15116" width="12.140625" bestFit="1" customWidth="1"/>
    <col min="15117" max="15118" width="12.42578125" bestFit="1" customWidth="1"/>
    <col min="15119" max="15119" width="13.5703125" bestFit="1" customWidth="1"/>
    <col min="15361" max="15361" width="11.42578125" customWidth="1"/>
    <col min="15362" max="15362" width="57" bestFit="1" customWidth="1"/>
    <col min="15363" max="15363" width="11.7109375" bestFit="1" customWidth="1"/>
    <col min="15364" max="15364" width="11.85546875" bestFit="1" customWidth="1"/>
    <col min="15365" max="15365" width="12.7109375" bestFit="1" customWidth="1"/>
    <col min="15366" max="15366" width="12.140625" bestFit="1" customWidth="1"/>
    <col min="15367" max="15367" width="12.42578125" bestFit="1" customWidth="1"/>
    <col min="15368" max="15368" width="12.7109375" bestFit="1" customWidth="1"/>
    <col min="15369" max="15369" width="11.28515625" bestFit="1" customWidth="1"/>
    <col min="15370" max="15370" width="12.42578125" bestFit="1" customWidth="1"/>
    <col min="15371" max="15372" width="12.140625" bestFit="1" customWidth="1"/>
    <col min="15373" max="15374" width="12.42578125" bestFit="1" customWidth="1"/>
    <col min="15375" max="15375" width="13.5703125" bestFit="1" customWidth="1"/>
    <col min="15617" max="15617" width="11.42578125" customWidth="1"/>
    <col min="15618" max="15618" width="57" bestFit="1" customWidth="1"/>
    <col min="15619" max="15619" width="11.7109375" bestFit="1" customWidth="1"/>
    <col min="15620" max="15620" width="11.85546875" bestFit="1" customWidth="1"/>
    <col min="15621" max="15621" width="12.7109375" bestFit="1" customWidth="1"/>
    <col min="15622" max="15622" width="12.140625" bestFit="1" customWidth="1"/>
    <col min="15623" max="15623" width="12.42578125" bestFit="1" customWidth="1"/>
    <col min="15624" max="15624" width="12.7109375" bestFit="1" customWidth="1"/>
    <col min="15625" max="15625" width="11.28515625" bestFit="1" customWidth="1"/>
    <col min="15626" max="15626" width="12.42578125" bestFit="1" customWidth="1"/>
    <col min="15627" max="15628" width="12.140625" bestFit="1" customWidth="1"/>
    <col min="15629" max="15630" width="12.42578125" bestFit="1" customWidth="1"/>
    <col min="15631" max="15631" width="13.5703125" bestFit="1" customWidth="1"/>
    <col min="15873" max="15873" width="11.42578125" customWidth="1"/>
    <col min="15874" max="15874" width="57" bestFit="1" customWidth="1"/>
    <col min="15875" max="15875" width="11.7109375" bestFit="1" customWidth="1"/>
    <col min="15876" max="15876" width="11.85546875" bestFit="1" customWidth="1"/>
    <col min="15877" max="15877" width="12.7109375" bestFit="1" customWidth="1"/>
    <col min="15878" max="15878" width="12.140625" bestFit="1" customWidth="1"/>
    <col min="15879" max="15879" width="12.42578125" bestFit="1" customWidth="1"/>
    <col min="15880" max="15880" width="12.7109375" bestFit="1" customWidth="1"/>
    <col min="15881" max="15881" width="11.28515625" bestFit="1" customWidth="1"/>
    <col min="15882" max="15882" width="12.42578125" bestFit="1" customWidth="1"/>
    <col min="15883" max="15884" width="12.140625" bestFit="1" customWidth="1"/>
    <col min="15885" max="15886" width="12.42578125" bestFit="1" customWidth="1"/>
    <col min="15887" max="15887" width="13.5703125" bestFit="1" customWidth="1"/>
    <col min="16129" max="16129" width="11.42578125" customWidth="1"/>
    <col min="16130" max="16130" width="57" bestFit="1" customWidth="1"/>
    <col min="16131" max="16131" width="11.7109375" bestFit="1" customWidth="1"/>
    <col min="16132" max="16132" width="11.85546875" bestFit="1" customWidth="1"/>
    <col min="16133" max="16133" width="12.7109375" bestFit="1" customWidth="1"/>
    <col min="16134" max="16134" width="12.140625" bestFit="1" customWidth="1"/>
    <col min="16135" max="16135" width="12.42578125" bestFit="1" customWidth="1"/>
    <col min="16136" max="16136" width="12.7109375" bestFit="1" customWidth="1"/>
    <col min="16137" max="16137" width="11.28515625" bestFit="1" customWidth="1"/>
    <col min="16138" max="16138" width="12.42578125" bestFit="1" customWidth="1"/>
    <col min="16139" max="16140" width="12.140625" bestFit="1" customWidth="1"/>
    <col min="16141" max="16142" width="12.42578125" bestFit="1" customWidth="1"/>
    <col min="16143" max="16143" width="13.5703125" bestFit="1" customWidth="1"/>
  </cols>
  <sheetData>
    <row r="2" spans="1:15" ht="19.5" x14ac:dyDescent="0.3">
      <c r="A2" s="4" t="s">
        <v>1238</v>
      </c>
    </row>
    <row r="3" spans="1:15" ht="18.75" customHeight="1" thickBot="1" x14ac:dyDescent="0.25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40"/>
    </row>
    <row r="4" spans="1:15" ht="42.75" customHeight="1" thickTop="1" thickBot="1" x14ac:dyDescent="0.25">
      <c r="A4" s="10" t="s">
        <v>0</v>
      </c>
      <c r="B4" s="11" t="s">
        <v>1</v>
      </c>
      <c r="C4" s="41">
        <v>43831</v>
      </c>
      <c r="D4" s="41">
        <v>43862</v>
      </c>
      <c r="E4" s="41">
        <v>43891</v>
      </c>
      <c r="F4" s="41">
        <v>43922</v>
      </c>
      <c r="G4" s="41">
        <v>43952</v>
      </c>
      <c r="H4" s="41">
        <v>43983</v>
      </c>
      <c r="I4" s="41">
        <v>44013</v>
      </c>
      <c r="J4" s="41">
        <v>44044</v>
      </c>
      <c r="K4" s="41">
        <v>44075</v>
      </c>
      <c r="L4" s="41">
        <v>44105</v>
      </c>
      <c r="M4" s="41">
        <v>44136</v>
      </c>
      <c r="N4" s="41">
        <v>44166</v>
      </c>
      <c r="O4" s="42" t="s">
        <v>804</v>
      </c>
    </row>
    <row r="5" spans="1:15" ht="13.5" thickTop="1" x14ac:dyDescent="0.2">
      <c r="A5" s="19"/>
      <c r="B5" s="20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43">
        <f>O6+O36+O67</f>
        <v>2493321.84</v>
      </c>
    </row>
    <row r="6" spans="1:15" ht="15.75" thickBot="1" x14ac:dyDescent="0.3">
      <c r="A6" s="21"/>
      <c r="B6" s="21"/>
      <c r="C6" s="22">
        <f>SUM(C7:C33)</f>
        <v>21188.260000000002</v>
      </c>
      <c r="D6" s="22">
        <v>84571.92</v>
      </c>
      <c r="E6" s="22">
        <v>61611.72</v>
      </c>
      <c r="F6" s="22"/>
      <c r="G6" s="22"/>
      <c r="H6" s="22">
        <f>SUM(H7:H33)</f>
        <v>665</v>
      </c>
      <c r="I6" s="22">
        <v>2910</v>
      </c>
      <c r="J6" s="22">
        <f>SUM(J7:J33)</f>
        <v>57028.08</v>
      </c>
      <c r="K6" s="22">
        <f t="shared" ref="K6:N6" si="0">SUM(K7:K33)</f>
        <v>47597.5</v>
      </c>
      <c r="L6" s="22">
        <f t="shared" si="0"/>
        <v>36775.270000000004</v>
      </c>
      <c r="M6" s="22">
        <f t="shared" si="0"/>
        <v>114509.6</v>
      </c>
      <c r="N6" s="22">
        <f t="shared" si="0"/>
        <v>11556</v>
      </c>
      <c r="O6" s="23">
        <f>SUM(C6:N6)</f>
        <v>438413.35</v>
      </c>
    </row>
    <row r="7" spans="1:15" ht="13.5" thickTop="1" x14ac:dyDescent="0.2">
      <c r="A7" s="19">
        <v>116085</v>
      </c>
      <c r="B7" s="20" t="s">
        <v>3</v>
      </c>
      <c r="C7" s="17">
        <v>0</v>
      </c>
      <c r="D7" s="17">
        <v>0</v>
      </c>
      <c r="E7" s="17"/>
      <c r="F7" s="17"/>
      <c r="G7" s="17"/>
      <c r="H7" s="17"/>
      <c r="I7" s="17"/>
      <c r="J7" s="17"/>
      <c r="K7" s="17"/>
      <c r="L7" s="17"/>
      <c r="M7" s="17"/>
      <c r="N7" s="17"/>
      <c r="O7" s="43">
        <f t="shared" ref="O7:O33" si="1">SUM(C7:N7)</f>
        <v>0</v>
      </c>
    </row>
    <row r="8" spans="1:15" x14ac:dyDescent="0.2">
      <c r="A8" s="19">
        <v>116090</v>
      </c>
      <c r="B8" s="20" t="s">
        <v>4</v>
      </c>
      <c r="C8" s="17">
        <v>0</v>
      </c>
      <c r="D8" s="17">
        <v>0</v>
      </c>
      <c r="E8" s="17">
        <v>3600</v>
      </c>
      <c r="F8" s="17"/>
      <c r="G8" s="17"/>
      <c r="H8" s="17"/>
      <c r="I8" s="17"/>
      <c r="J8" s="17"/>
      <c r="K8" s="17"/>
      <c r="L8" s="17"/>
      <c r="M8" s="17"/>
      <c r="N8" s="17"/>
      <c r="O8" s="43">
        <f t="shared" si="1"/>
        <v>3600</v>
      </c>
    </row>
    <row r="9" spans="1:15" x14ac:dyDescent="0.2">
      <c r="A9" s="19">
        <v>116095</v>
      </c>
      <c r="B9" s="20" t="s">
        <v>5</v>
      </c>
      <c r="C9" s="17">
        <v>0</v>
      </c>
      <c r="D9" s="17">
        <v>0</v>
      </c>
      <c r="E9" s="17"/>
      <c r="F9" s="17"/>
      <c r="G9" s="17"/>
      <c r="H9" s="17"/>
      <c r="I9" s="17"/>
      <c r="J9" s="17"/>
      <c r="K9" s="17"/>
      <c r="L9" s="17">
        <v>7150</v>
      </c>
      <c r="M9" s="17"/>
      <c r="N9" s="17"/>
      <c r="O9" s="43">
        <f t="shared" si="1"/>
        <v>7150</v>
      </c>
    </row>
    <row r="10" spans="1:15" x14ac:dyDescent="0.2">
      <c r="A10" s="19">
        <v>116097</v>
      </c>
      <c r="B10" s="20" t="s">
        <v>6</v>
      </c>
      <c r="C10" s="17">
        <v>0</v>
      </c>
      <c r="D10" s="17">
        <v>0</v>
      </c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43">
        <f t="shared" si="1"/>
        <v>0</v>
      </c>
    </row>
    <row r="11" spans="1:15" x14ac:dyDescent="0.2">
      <c r="A11" s="19">
        <v>118110</v>
      </c>
      <c r="B11" s="20" t="s">
        <v>8</v>
      </c>
      <c r="C11" s="17">
        <v>0</v>
      </c>
      <c r="D11" s="17">
        <v>760.01</v>
      </c>
      <c r="E11" s="17">
        <v>44338.75</v>
      </c>
      <c r="F11" s="17"/>
      <c r="G11" s="17"/>
      <c r="H11" s="17"/>
      <c r="I11" s="17">
        <v>1200</v>
      </c>
      <c r="J11" s="17">
        <v>47258.18</v>
      </c>
      <c r="K11" s="17">
        <v>47597.5</v>
      </c>
      <c r="L11" s="17">
        <v>1700</v>
      </c>
      <c r="M11" s="17"/>
      <c r="N11" s="17"/>
      <c r="O11" s="43">
        <f t="shared" si="1"/>
        <v>142854.44</v>
      </c>
    </row>
    <row r="12" spans="1:15" x14ac:dyDescent="0.2">
      <c r="A12" s="19">
        <v>118115</v>
      </c>
      <c r="B12" s="20" t="s">
        <v>9</v>
      </c>
      <c r="C12" s="17">
        <v>0</v>
      </c>
      <c r="D12" s="17">
        <v>0</v>
      </c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43">
        <f t="shared" si="1"/>
        <v>0</v>
      </c>
    </row>
    <row r="13" spans="1:15" x14ac:dyDescent="0.2">
      <c r="A13" s="19">
        <v>118135</v>
      </c>
      <c r="B13" s="20" t="s">
        <v>59</v>
      </c>
      <c r="C13" s="17">
        <v>15360</v>
      </c>
      <c r="D13" s="17">
        <v>708.3</v>
      </c>
      <c r="E13" s="17">
        <v>6581</v>
      </c>
      <c r="F13" s="17"/>
      <c r="G13" s="17"/>
      <c r="H13" s="17"/>
      <c r="I13" s="17"/>
      <c r="J13" s="17"/>
      <c r="K13" s="17"/>
      <c r="L13" s="17"/>
      <c r="M13" s="17">
        <v>9410</v>
      </c>
      <c r="N13" s="17">
        <f>VLOOKUP(A13,'Afixo Aquisição  12 20 '!A:F,6,0)</f>
        <v>11556</v>
      </c>
      <c r="O13" s="43">
        <f t="shared" si="1"/>
        <v>43615.3</v>
      </c>
    </row>
    <row r="14" spans="1:15" x14ac:dyDescent="0.2">
      <c r="A14" s="19">
        <v>118140</v>
      </c>
      <c r="B14" s="20" t="s">
        <v>12</v>
      </c>
      <c r="C14" s="17">
        <v>0</v>
      </c>
      <c r="D14" s="17">
        <v>0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43">
        <f t="shared" si="1"/>
        <v>0</v>
      </c>
    </row>
    <row r="15" spans="1:15" x14ac:dyDescent="0.2">
      <c r="A15" s="19">
        <v>118150</v>
      </c>
      <c r="B15" s="20" t="s">
        <v>13</v>
      </c>
      <c r="C15" s="17">
        <v>0</v>
      </c>
      <c r="D15" s="17">
        <v>0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43">
        <f t="shared" si="1"/>
        <v>0</v>
      </c>
    </row>
    <row r="16" spans="1:15" x14ac:dyDescent="0.2">
      <c r="A16" s="19">
        <v>118155</v>
      </c>
      <c r="B16" s="20" t="s">
        <v>14</v>
      </c>
      <c r="C16" s="17">
        <v>0</v>
      </c>
      <c r="D16" s="17">
        <v>0</v>
      </c>
      <c r="E16" s="44"/>
      <c r="F16" s="44"/>
      <c r="G16" s="44"/>
      <c r="H16" s="44"/>
      <c r="I16" s="17"/>
      <c r="J16" s="17"/>
      <c r="K16" s="17"/>
      <c r="L16" s="17"/>
      <c r="M16" s="17"/>
      <c r="N16" s="17"/>
      <c r="O16" s="43">
        <f t="shared" si="1"/>
        <v>0</v>
      </c>
    </row>
    <row r="17" spans="1:15" x14ac:dyDescent="0.2">
      <c r="A17" s="19">
        <v>119155</v>
      </c>
      <c r="B17" s="20" t="s">
        <v>15</v>
      </c>
      <c r="C17" s="17">
        <v>5828.26</v>
      </c>
      <c r="D17" s="17">
        <v>83103.61</v>
      </c>
      <c r="E17" s="17">
        <v>7091.97</v>
      </c>
      <c r="F17" s="44"/>
      <c r="G17" s="44"/>
      <c r="H17" s="44">
        <v>665</v>
      </c>
      <c r="I17" s="17">
        <v>1710</v>
      </c>
      <c r="J17" s="17">
        <v>9769.9</v>
      </c>
      <c r="K17" s="17"/>
      <c r="L17" s="17">
        <v>27925.27</v>
      </c>
      <c r="M17" s="17">
        <v>105099.6</v>
      </c>
      <c r="N17" s="17"/>
      <c r="O17" s="43">
        <f t="shared" si="1"/>
        <v>241193.61</v>
      </c>
    </row>
    <row r="18" spans="1:15" x14ac:dyDescent="0.2">
      <c r="A18" s="19">
        <v>119160</v>
      </c>
      <c r="B18" s="20" t="s">
        <v>16</v>
      </c>
      <c r="C18" s="17">
        <v>0</v>
      </c>
      <c r="D18" s="17">
        <v>0</v>
      </c>
      <c r="E18" s="44"/>
      <c r="F18" s="44"/>
      <c r="G18" s="44"/>
      <c r="H18" s="44"/>
      <c r="I18" s="17"/>
      <c r="J18" s="17"/>
      <c r="K18" s="17"/>
      <c r="L18" s="17"/>
      <c r="M18" s="17"/>
      <c r="N18" s="17"/>
      <c r="O18" s="43">
        <f t="shared" si="1"/>
        <v>0</v>
      </c>
    </row>
    <row r="19" spans="1:15" x14ac:dyDescent="0.2">
      <c r="A19" s="19">
        <v>119162</v>
      </c>
      <c r="B19" s="20" t="s">
        <v>17</v>
      </c>
      <c r="C19" s="17">
        <v>0</v>
      </c>
      <c r="D19" s="17">
        <v>0</v>
      </c>
      <c r="E19" s="44"/>
      <c r="F19" s="44"/>
      <c r="G19" s="44"/>
      <c r="H19" s="44"/>
      <c r="I19" s="17"/>
      <c r="J19" s="17"/>
      <c r="K19" s="17"/>
      <c r="L19" s="17"/>
      <c r="M19" s="17"/>
      <c r="N19" s="17"/>
      <c r="O19" s="43">
        <f t="shared" si="1"/>
        <v>0</v>
      </c>
    </row>
    <row r="20" spans="1:15" x14ac:dyDescent="0.2">
      <c r="A20" s="19">
        <v>120185</v>
      </c>
      <c r="B20" s="20" t="s">
        <v>18</v>
      </c>
      <c r="C20" s="17">
        <v>0</v>
      </c>
      <c r="D20" s="17">
        <v>0</v>
      </c>
      <c r="E20" s="44"/>
      <c r="F20" s="44"/>
      <c r="G20" s="44"/>
      <c r="H20" s="44"/>
      <c r="I20" s="17"/>
      <c r="J20" s="17"/>
      <c r="K20" s="17"/>
      <c r="L20" s="17"/>
      <c r="M20" s="17"/>
      <c r="N20" s="17"/>
      <c r="O20" s="43">
        <f t="shared" si="1"/>
        <v>0</v>
      </c>
    </row>
    <row r="21" spans="1:15" x14ac:dyDescent="0.2">
      <c r="A21" s="19">
        <v>122200</v>
      </c>
      <c r="B21" s="20" t="s">
        <v>19</v>
      </c>
      <c r="C21" s="17">
        <v>0</v>
      </c>
      <c r="D21" s="17">
        <v>0</v>
      </c>
      <c r="E21" s="44"/>
      <c r="F21" s="44"/>
      <c r="G21" s="44"/>
      <c r="H21" s="44"/>
      <c r="I21" s="17"/>
      <c r="J21" s="17"/>
      <c r="K21" s="17"/>
      <c r="L21" s="17"/>
      <c r="M21" s="17"/>
      <c r="N21" s="17"/>
      <c r="O21" s="43">
        <f t="shared" si="1"/>
        <v>0</v>
      </c>
    </row>
    <row r="22" spans="1:15" x14ac:dyDescent="0.2">
      <c r="A22" s="19">
        <v>123505</v>
      </c>
      <c r="B22" s="20" t="s">
        <v>20</v>
      </c>
      <c r="C22" s="17">
        <v>0</v>
      </c>
      <c r="D22" s="17">
        <v>0</v>
      </c>
      <c r="E22" s="44"/>
      <c r="F22" s="44"/>
      <c r="G22" s="44"/>
      <c r="H22" s="44"/>
      <c r="I22" s="17"/>
      <c r="J22" s="17"/>
      <c r="K22" s="17"/>
      <c r="L22" s="17"/>
      <c r="M22" s="17"/>
      <c r="N22" s="17"/>
      <c r="O22" s="43">
        <f t="shared" si="1"/>
        <v>0</v>
      </c>
    </row>
    <row r="23" spans="1:15" x14ac:dyDescent="0.2">
      <c r="A23" s="19">
        <v>123510</v>
      </c>
      <c r="B23" s="20" t="s">
        <v>21</v>
      </c>
      <c r="C23" s="17">
        <v>0</v>
      </c>
      <c r="D23" s="17">
        <v>0</v>
      </c>
      <c r="E23" s="44"/>
      <c r="F23" s="44"/>
      <c r="G23" s="44"/>
      <c r="H23" s="44"/>
      <c r="I23" s="17"/>
      <c r="J23" s="17"/>
      <c r="K23" s="17"/>
      <c r="L23" s="17"/>
      <c r="M23" s="17"/>
      <c r="N23" s="17"/>
      <c r="O23" s="43">
        <f t="shared" si="1"/>
        <v>0</v>
      </c>
    </row>
    <row r="24" spans="1:15" x14ac:dyDescent="0.2">
      <c r="A24" s="19">
        <v>123515</v>
      </c>
      <c r="B24" s="20" t="s">
        <v>22</v>
      </c>
      <c r="C24" s="17">
        <v>0</v>
      </c>
      <c r="D24" s="17">
        <v>0</v>
      </c>
      <c r="E24" s="44"/>
      <c r="F24" s="44"/>
      <c r="G24" s="44"/>
      <c r="H24" s="44"/>
      <c r="I24" s="17"/>
      <c r="J24" s="17"/>
      <c r="K24" s="17"/>
      <c r="L24" s="17"/>
      <c r="M24" s="17"/>
      <c r="N24" s="17"/>
      <c r="O24" s="43">
        <f t="shared" si="1"/>
        <v>0</v>
      </c>
    </row>
    <row r="25" spans="1:15" x14ac:dyDescent="0.2">
      <c r="A25" s="19">
        <v>123520</v>
      </c>
      <c r="B25" s="20" t="s">
        <v>23</v>
      </c>
      <c r="C25" s="17">
        <v>0</v>
      </c>
      <c r="D25" s="17">
        <v>0</v>
      </c>
      <c r="E25" s="44"/>
      <c r="F25" s="44"/>
      <c r="G25" s="44"/>
      <c r="H25" s="44"/>
      <c r="I25" s="17"/>
      <c r="J25" s="17"/>
      <c r="K25" s="17"/>
      <c r="L25" s="17"/>
      <c r="M25" s="17"/>
      <c r="N25" s="17"/>
      <c r="O25" s="43">
        <f t="shared" si="1"/>
        <v>0</v>
      </c>
    </row>
    <row r="26" spans="1:15" x14ac:dyDescent="0.2">
      <c r="A26" s="19">
        <v>123525</v>
      </c>
      <c r="B26" s="20" t="s">
        <v>24</v>
      </c>
      <c r="C26" s="17">
        <v>0</v>
      </c>
      <c r="D26" s="17">
        <v>0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43">
        <f t="shared" si="1"/>
        <v>0</v>
      </c>
    </row>
    <row r="27" spans="1:15" x14ac:dyDescent="0.2">
      <c r="A27" s="19">
        <v>123530</v>
      </c>
      <c r="B27" s="20" t="s">
        <v>734</v>
      </c>
      <c r="C27" s="17">
        <v>0</v>
      </c>
      <c r="D27" s="17">
        <v>0</v>
      </c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43">
        <f t="shared" si="1"/>
        <v>0</v>
      </c>
    </row>
    <row r="28" spans="1:15" x14ac:dyDescent="0.2">
      <c r="A28" s="19">
        <v>123535</v>
      </c>
      <c r="B28" s="20" t="s">
        <v>735</v>
      </c>
      <c r="C28" s="17">
        <v>0</v>
      </c>
      <c r="D28" s="17">
        <v>0</v>
      </c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43">
        <f t="shared" si="1"/>
        <v>0</v>
      </c>
    </row>
    <row r="29" spans="1:15" x14ac:dyDescent="0.2">
      <c r="A29" s="19">
        <v>123540</v>
      </c>
      <c r="B29" s="20" t="s">
        <v>736</v>
      </c>
      <c r="C29" s="17">
        <v>0</v>
      </c>
      <c r="D29" s="17">
        <v>0</v>
      </c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43">
        <f t="shared" si="1"/>
        <v>0</v>
      </c>
    </row>
    <row r="30" spans="1:15" x14ac:dyDescent="0.2">
      <c r="A30" s="19">
        <v>123545</v>
      </c>
      <c r="B30" s="20" t="s">
        <v>737</v>
      </c>
      <c r="C30" s="17">
        <v>0</v>
      </c>
      <c r="D30" s="17">
        <v>0</v>
      </c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43">
        <f t="shared" si="1"/>
        <v>0</v>
      </c>
    </row>
    <row r="31" spans="1:15" x14ac:dyDescent="0.2">
      <c r="A31" s="19">
        <v>123800</v>
      </c>
      <c r="B31" s="20" t="s">
        <v>784</v>
      </c>
      <c r="C31" s="17">
        <v>0</v>
      </c>
      <c r="D31" s="17">
        <v>0</v>
      </c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43">
        <f t="shared" si="1"/>
        <v>0</v>
      </c>
    </row>
    <row r="32" spans="1:15" x14ac:dyDescent="0.2">
      <c r="A32" s="19">
        <v>124100</v>
      </c>
      <c r="B32" s="20" t="s">
        <v>754</v>
      </c>
      <c r="C32" s="17">
        <v>0</v>
      </c>
      <c r="D32" s="17">
        <v>0</v>
      </c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43">
        <f t="shared" si="1"/>
        <v>0</v>
      </c>
    </row>
    <row r="33" spans="1:16" x14ac:dyDescent="0.2">
      <c r="A33" s="19">
        <v>124110</v>
      </c>
      <c r="B33" s="20" t="s">
        <v>755</v>
      </c>
      <c r="C33" s="17">
        <v>0</v>
      </c>
      <c r="D33" s="17">
        <v>0</v>
      </c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43">
        <f t="shared" si="1"/>
        <v>0</v>
      </c>
    </row>
    <row r="34" spans="1:16" x14ac:dyDescent="0.2">
      <c r="A34" s="19"/>
      <c r="B34" s="20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43"/>
    </row>
    <row r="35" spans="1:16" x14ac:dyDescent="0.2">
      <c r="A35" s="19"/>
      <c r="B35" s="20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43"/>
    </row>
    <row r="36" spans="1:16" ht="15.75" thickBot="1" x14ac:dyDescent="0.3">
      <c r="A36" s="21">
        <v>125450</v>
      </c>
      <c r="B36" s="21" t="s">
        <v>27</v>
      </c>
      <c r="C36" s="22">
        <f>SUM(C37:C49)</f>
        <v>120435.17</v>
      </c>
      <c r="D36" s="22">
        <f t="shared" ref="D36" si="2">SUM(D37:D49)</f>
        <v>0</v>
      </c>
      <c r="E36" s="22">
        <v>0</v>
      </c>
      <c r="F36" s="22">
        <v>1231472.1000000001</v>
      </c>
      <c r="G36" s="22">
        <f>SUM(G37:G51)</f>
        <v>-256350.07999999999</v>
      </c>
      <c r="H36" s="22">
        <f t="shared" ref="H36" si="3">SUM(H37:H51)</f>
        <v>230957.76</v>
      </c>
      <c r="I36" s="22">
        <v>227570.09</v>
      </c>
      <c r="J36" s="22">
        <v>421059.15</v>
      </c>
      <c r="K36" s="22">
        <v>53131.89</v>
      </c>
      <c r="L36" s="22">
        <f>SUM(L38:L56)</f>
        <v>73018.62000000001</v>
      </c>
      <c r="M36" s="22">
        <f t="shared" ref="M36:N36" si="4">SUM(M38:M56)</f>
        <v>13227.930000000008</v>
      </c>
      <c r="N36" s="22">
        <f t="shared" si="4"/>
        <v>-67443.14</v>
      </c>
      <c r="O36" s="23">
        <f>SUM(C36:N36)</f>
        <v>2047079.49</v>
      </c>
      <c r="P36" s="1"/>
    </row>
    <row r="37" spans="1:16" ht="14.25" thickTop="1" thickBot="1" x14ac:dyDescent="0.25">
      <c r="A37" s="112">
        <v>125501</v>
      </c>
      <c r="B37" s="112" t="s">
        <v>28</v>
      </c>
      <c r="C37" s="113">
        <v>0</v>
      </c>
      <c r="D37" s="113">
        <v>0</v>
      </c>
      <c r="E37" s="113"/>
      <c r="F37" s="113">
        <v>0</v>
      </c>
      <c r="G37" s="113"/>
      <c r="H37" s="113"/>
      <c r="I37" s="113"/>
      <c r="J37" s="113"/>
      <c r="K37" s="113"/>
      <c r="L37" s="113"/>
      <c r="M37" s="113"/>
      <c r="N37" s="113"/>
      <c r="O37" s="114">
        <f t="shared" ref="O37:O58" si="5">SUM(C37:N37)</f>
        <v>0</v>
      </c>
    </row>
    <row r="38" spans="1:16" ht="13.5" thickTop="1" x14ac:dyDescent="0.2">
      <c r="A38" s="60">
        <v>125502</v>
      </c>
      <c r="B38" s="144" t="s">
        <v>29</v>
      </c>
      <c r="C38" s="62">
        <v>0</v>
      </c>
      <c r="D38" s="62">
        <v>0</v>
      </c>
      <c r="E38" s="62"/>
      <c r="F38" s="62">
        <v>0</v>
      </c>
      <c r="G38" s="62"/>
      <c r="H38" s="62"/>
      <c r="I38" s="62"/>
      <c r="J38" s="62"/>
      <c r="K38" s="62"/>
      <c r="L38" s="62"/>
      <c r="M38" s="62"/>
      <c r="N38" s="62"/>
      <c r="O38" s="64">
        <f t="shared" si="5"/>
        <v>0</v>
      </c>
    </row>
    <row r="39" spans="1:16" x14ac:dyDescent="0.2">
      <c r="A39" s="19">
        <v>125503</v>
      </c>
      <c r="B39" s="20" t="s">
        <v>30</v>
      </c>
      <c r="C39" s="17">
        <v>0</v>
      </c>
      <c r="D39" s="17">
        <v>0</v>
      </c>
      <c r="E39" s="17"/>
      <c r="F39" s="17">
        <v>0</v>
      </c>
      <c r="G39" s="17"/>
      <c r="H39" s="17"/>
      <c r="I39" s="17"/>
      <c r="J39" s="17"/>
      <c r="K39" s="17"/>
      <c r="L39" s="17"/>
      <c r="M39" s="17"/>
      <c r="N39" s="17"/>
      <c r="O39" s="43">
        <f t="shared" si="5"/>
        <v>0</v>
      </c>
    </row>
    <row r="40" spans="1:16" x14ac:dyDescent="0.2">
      <c r="A40" s="19">
        <v>125504</v>
      </c>
      <c r="B40" s="20" t="s">
        <v>31</v>
      </c>
      <c r="C40" s="17">
        <v>0</v>
      </c>
      <c r="D40" s="17">
        <v>0</v>
      </c>
      <c r="E40" s="17"/>
      <c r="F40" s="17">
        <v>0</v>
      </c>
      <c r="G40" s="17"/>
      <c r="H40" s="17"/>
      <c r="I40" s="17"/>
      <c r="J40" s="17"/>
      <c r="K40" s="17"/>
      <c r="L40" s="17"/>
      <c r="M40" s="17"/>
      <c r="N40" s="17"/>
      <c r="O40" s="43">
        <f t="shared" si="5"/>
        <v>0</v>
      </c>
    </row>
    <row r="41" spans="1:16" x14ac:dyDescent="0.2">
      <c r="A41" s="19">
        <v>125505</v>
      </c>
      <c r="B41" s="20" t="s">
        <v>32</v>
      </c>
      <c r="C41" s="17">
        <v>0</v>
      </c>
      <c r="D41" s="17">
        <v>0</v>
      </c>
      <c r="E41" s="17"/>
      <c r="F41" s="17">
        <v>0</v>
      </c>
      <c r="G41" s="17"/>
      <c r="H41" s="17"/>
      <c r="I41" s="17"/>
      <c r="J41" s="17"/>
      <c r="K41" s="17"/>
      <c r="L41" s="17"/>
      <c r="M41" s="17"/>
      <c r="N41" s="17"/>
      <c r="O41" s="43">
        <f t="shared" si="5"/>
        <v>0</v>
      </c>
    </row>
    <row r="42" spans="1:16" x14ac:dyDescent="0.2">
      <c r="A42" s="19">
        <v>125507</v>
      </c>
      <c r="B42" s="20" t="s">
        <v>34</v>
      </c>
      <c r="C42" s="17">
        <v>0</v>
      </c>
      <c r="D42" s="17">
        <v>0</v>
      </c>
      <c r="E42" s="17"/>
      <c r="F42" s="17">
        <v>0</v>
      </c>
      <c r="G42" s="17"/>
      <c r="H42" s="17"/>
      <c r="I42" s="17"/>
      <c r="J42" s="17"/>
      <c r="K42" s="17"/>
      <c r="L42" s="17"/>
      <c r="M42" s="17"/>
      <c r="N42" s="17"/>
      <c r="O42" s="43">
        <f t="shared" si="5"/>
        <v>0</v>
      </c>
    </row>
    <row r="43" spans="1:16" x14ac:dyDescent="0.2">
      <c r="A43" s="19">
        <v>125508</v>
      </c>
      <c r="B43" s="20" t="s">
        <v>35</v>
      </c>
      <c r="C43" s="17">
        <v>0</v>
      </c>
      <c r="D43" s="17">
        <v>0</v>
      </c>
      <c r="E43" s="17"/>
      <c r="F43" s="17">
        <v>0</v>
      </c>
      <c r="G43" s="17"/>
      <c r="H43" s="17"/>
      <c r="I43" s="17"/>
      <c r="J43" s="17"/>
      <c r="K43" s="17"/>
      <c r="L43" s="17"/>
      <c r="M43" s="17"/>
      <c r="N43" s="17"/>
      <c r="O43" s="43">
        <f t="shared" si="5"/>
        <v>0</v>
      </c>
    </row>
    <row r="44" spans="1:16" x14ac:dyDescent="0.2">
      <c r="A44" s="19">
        <v>125509</v>
      </c>
      <c r="B44" s="20" t="s">
        <v>64</v>
      </c>
      <c r="C44" s="17">
        <v>0</v>
      </c>
      <c r="D44" s="17">
        <v>0</v>
      </c>
      <c r="E44" s="17"/>
      <c r="F44" s="17">
        <v>0</v>
      </c>
      <c r="G44" s="17"/>
      <c r="H44" s="17"/>
      <c r="I44" s="17"/>
      <c r="J44" s="17"/>
      <c r="K44" s="17"/>
      <c r="L44" s="17"/>
      <c r="M44" s="17"/>
      <c r="N44" s="17"/>
      <c r="O44" s="43">
        <f t="shared" si="5"/>
        <v>0</v>
      </c>
    </row>
    <row r="45" spans="1:16" x14ac:dyDescent="0.2">
      <c r="A45" s="19">
        <v>125510</v>
      </c>
      <c r="B45" s="20" t="s">
        <v>65</v>
      </c>
      <c r="C45" s="17">
        <v>0</v>
      </c>
      <c r="D45" s="17">
        <v>0</v>
      </c>
      <c r="E45" s="17"/>
      <c r="F45" s="17">
        <v>0</v>
      </c>
      <c r="G45" s="17"/>
      <c r="H45" s="17"/>
      <c r="I45" s="17"/>
      <c r="J45" s="17"/>
      <c r="K45" s="17"/>
      <c r="L45" s="17"/>
      <c r="M45" s="17"/>
      <c r="N45" s="17"/>
      <c r="O45" s="43">
        <f t="shared" si="5"/>
        <v>0</v>
      </c>
    </row>
    <row r="46" spans="1:16" x14ac:dyDescent="0.2">
      <c r="A46" s="19">
        <v>125511</v>
      </c>
      <c r="B46" s="20" t="s">
        <v>259</v>
      </c>
      <c r="C46" s="17">
        <v>0</v>
      </c>
      <c r="D46" s="17">
        <v>0</v>
      </c>
      <c r="E46" s="17"/>
      <c r="F46" s="17">
        <v>0</v>
      </c>
      <c r="G46" s="17"/>
      <c r="H46" s="17"/>
      <c r="I46" s="17"/>
      <c r="J46" s="17"/>
      <c r="K46" s="17"/>
      <c r="L46" s="17"/>
      <c r="M46" s="17"/>
      <c r="N46" s="17"/>
      <c r="O46" s="43">
        <f t="shared" si="5"/>
        <v>0</v>
      </c>
    </row>
    <row r="47" spans="1:16" x14ac:dyDescent="0.2">
      <c r="A47" s="19">
        <v>125512</v>
      </c>
      <c r="B47" s="20" t="s">
        <v>681</v>
      </c>
      <c r="C47" s="17">
        <v>120435.17</v>
      </c>
      <c r="D47" s="17">
        <v>0</v>
      </c>
      <c r="E47" s="17"/>
      <c r="F47" s="17">
        <v>0</v>
      </c>
      <c r="G47" s="17"/>
      <c r="H47" s="17"/>
      <c r="I47" s="17"/>
      <c r="J47" s="17"/>
      <c r="K47" s="17"/>
      <c r="L47" s="17"/>
      <c r="M47" s="17"/>
      <c r="N47" s="17"/>
      <c r="O47" s="43">
        <f t="shared" si="5"/>
        <v>120435.17</v>
      </c>
    </row>
    <row r="48" spans="1:16" x14ac:dyDescent="0.2">
      <c r="A48" s="19">
        <v>125513</v>
      </c>
      <c r="B48" s="20" t="s">
        <v>722</v>
      </c>
      <c r="C48" s="17">
        <v>0</v>
      </c>
      <c r="D48" s="17">
        <v>0</v>
      </c>
      <c r="E48" s="17"/>
      <c r="F48" s="17">
        <v>0</v>
      </c>
      <c r="G48" s="17"/>
      <c r="H48" s="17"/>
      <c r="I48" s="17"/>
      <c r="J48" s="17"/>
      <c r="K48" s="17"/>
      <c r="L48" s="17"/>
      <c r="M48" s="17"/>
      <c r="N48" s="17"/>
      <c r="O48" s="43">
        <f t="shared" si="5"/>
        <v>0</v>
      </c>
    </row>
    <row r="49" spans="1:15" x14ac:dyDescent="0.2">
      <c r="A49" s="19">
        <v>125514</v>
      </c>
      <c r="B49" s="20" t="s">
        <v>790</v>
      </c>
      <c r="C49" s="17">
        <v>0</v>
      </c>
      <c r="D49" s="17">
        <v>0</v>
      </c>
      <c r="E49" s="17"/>
      <c r="F49" s="17">
        <v>0</v>
      </c>
      <c r="G49" s="17"/>
      <c r="H49" s="17"/>
      <c r="I49" s="17"/>
      <c r="J49" s="17"/>
      <c r="K49" s="17"/>
      <c r="L49" s="17"/>
      <c r="M49" s="17"/>
      <c r="N49" s="17"/>
      <c r="O49" s="43">
        <f t="shared" si="5"/>
        <v>0</v>
      </c>
    </row>
    <row r="50" spans="1:15" x14ac:dyDescent="0.2">
      <c r="A50" s="19">
        <v>125515</v>
      </c>
      <c r="B50" s="20" t="s">
        <v>869</v>
      </c>
      <c r="C50" s="17">
        <v>0</v>
      </c>
      <c r="D50" s="17">
        <v>0</v>
      </c>
      <c r="E50" s="17"/>
      <c r="F50" s="17">
        <v>1231472.1000000001</v>
      </c>
      <c r="G50" s="17">
        <v>-256350.07999999999</v>
      </c>
      <c r="H50" s="17"/>
      <c r="I50" s="17">
        <v>14137.06</v>
      </c>
      <c r="J50" s="17">
        <v>76186.64</v>
      </c>
      <c r="K50" s="17">
        <v>-109168.88</v>
      </c>
      <c r="L50" s="17">
        <v>-85833.159999999974</v>
      </c>
      <c r="M50" s="17">
        <v>-85957.34</v>
      </c>
      <c r="N50" s="17">
        <f>VLOOKUP(A50,'Afixo Aquisição  12 20 '!A:F,6,0)-'Balancete Contab. 12 2020'!F264</f>
        <v>-120543.14</v>
      </c>
      <c r="O50" s="43">
        <f t="shared" si="5"/>
        <v>663943.20000000019</v>
      </c>
    </row>
    <row r="51" spans="1:15" x14ac:dyDescent="0.2">
      <c r="A51" s="19">
        <v>125516</v>
      </c>
      <c r="B51" s="145" t="s">
        <v>879</v>
      </c>
      <c r="C51" s="17"/>
      <c r="D51" s="17"/>
      <c r="E51" s="17"/>
      <c r="F51" s="17"/>
      <c r="G51" s="17"/>
      <c r="H51" s="44">
        <v>230957.76</v>
      </c>
      <c r="I51" s="17">
        <v>213433.03</v>
      </c>
      <c r="J51" s="17">
        <v>23678.92</v>
      </c>
      <c r="K51" s="17">
        <v>7482</v>
      </c>
      <c r="L51" s="17">
        <v>550</v>
      </c>
      <c r="M51" s="17"/>
      <c r="N51" s="17"/>
      <c r="O51" s="43">
        <f t="shared" si="5"/>
        <v>476101.71</v>
      </c>
    </row>
    <row r="52" spans="1:15" x14ac:dyDescent="0.2">
      <c r="A52" s="66">
        <v>125517</v>
      </c>
      <c r="B52" s="106" t="s">
        <v>971</v>
      </c>
      <c r="C52" s="17"/>
      <c r="D52" s="17"/>
      <c r="E52" s="17"/>
      <c r="F52" s="17"/>
      <c r="G52" s="17"/>
      <c r="H52" s="44"/>
      <c r="I52" s="17"/>
      <c r="J52" s="17">
        <v>129605</v>
      </c>
      <c r="K52" s="17">
        <v>30332.33</v>
      </c>
      <c r="L52" s="17" t="s">
        <v>946</v>
      </c>
      <c r="M52" s="17"/>
      <c r="N52" s="17"/>
      <c r="O52" s="43">
        <f t="shared" si="5"/>
        <v>159937.33000000002</v>
      </c>
    </row>
    <row r="53" spans="1:15" x14ac:dyDescent="0.2">
      <c r="A53" s="66">
        <v>125518</v>
      </c>
      <c r="B53" s="106" t="s">
        <v>972</v>
      </c>
      <c r="C53" s="17"/>
      <c r="D53" s="17"/>
      <c r="E53" s="17"/>
      <c r="F53" s="17"/>
      <c r="G53" s="17"/>
      <c r="H53" s="17"/>
      <c r="I53" s="17"/>
      <c r="J53" s="17">
        <v>191588.59</v>
      </c>
      <c r="K53" s="17">
        <v>99640.5</v>
      </c>
      <c r="L53" s="17">
        <v>139702.04999999999</v>
      </c>
      <c r="M53" s="17">
        <v>91783.27</v>
      </c>
      <c r="N53" s="17">
        <f>VLOOKUP(A53,'Afixo Aquisição  12 20 '!A:F,6,0)</f>
        <v>48100</v>
      </c>
      <c r="O53" s="43">
        <f t="shared" si="5"/>
        <v>570814.40999999992</v>
      </c>
    </row>
    <row r="54" spans="1:15" x14ac:dyDescent="0.2">
      <c r="A54" s="66">
        <v>125519</v>
      </c>
      <c r="B54" s="27" t="s">
        <v>1040</v>
      </c>
      <c r="C54" s="17"/>
      <c r="D54" s="17"/>
      <c r="E54" s="17"/>
      <c r="F54" s="17"/>
      <c r="G54" s="17"/>
      <c r="H54" s="17"/>
      <c r="I54" s="17"/>
      <c r="J54" s="17"/>
      <c r="K54" s="17"/>
      <c r="L54" s="17">
        <v>8882.4000000000015</v>
      </c>
      <c r="M54" s="17">
        <v>7402</v>
      </c>
      <c r="N54" s="17"/>
      <c r="O54" s="43">
        <f t="shared" si="5"/>
        <v>16284.400000000001</v>
      </c>
    </row>
    <row r="55" spans="1:15" x14ac:dyDescent="0.2">
      <c r="A55" s="146">
        <v>125520</v>
      </c>
      <c r="B55" s="145" t="s">
        <v>984</v>
      </c>
      <c r="C55" s="147"/>
      <c r="D55" s="147"/>
      <c r="E55" s="147"/>
      <c r="F55" s="147"/>
      <c r="G55" s="147"/>
      <c r="H55" s="147"/>
      <c r="I55" s="147"/>
      <c r="J55" s="147"/>
      <c r="K55" s="147">
        <v>24845.94</v>
      </c>
      <c r="L55" s="147">
        <v>9717.33</v>
      </c>
      <c r="M55" s="147"/>
      <c r="N55" s="147"/>
      <c r="O55" s="148">
        <f t="shared" si="5"/>
        <v>34563.269999999997</v>
      </c>
    </row>
    <row r="56" spans="1:15" x14ac:dyDescent="0.2">
      <c r="A56" s="146">
        <v>125521</v>
      </c>
      <c r="B56" s="145" t="s">
        <v>1242</v>
      </c>
      <c r="C56" s="147"/>
      <c r="D56" s="147"/>
      <c r="E56" s="147"/>
      <c r="F56" s="147"/>
      <c r="G56" s="147"/>
      <c r="H56" s="147"/>
      <c r="I56" s="147"/>
      <c r="J56" s="147"/>
      <c r="K56" s="147"/>
      <c r="L56" s="147"/>
      <c r="M56" s="147"/>
      <c r="N56" s="17">
        <f>VLOOKUP(A56,'Afixo Aquisição  12 20 '!A:F,6,0)</f>
        <v>5000</v>
      </c>
      <c r="O56" s="148">
        <f>SUM(C56:N56)</f>
        <v>5000</v>
      </c>
    </row>
    <row r="57" spans="1:15" ht="13.5" thickBot="1" x14ac:dyDescent="0.25">
      <c r="A57" s="149"/>
      <c r="B57" s="150"/>
      <c r="C57" s="151"/>
      <c r="D57" s="151"/>
      <c r="E57" s="151"/>
      <c r="F57" s="151"/>
      <c r="G57" s="151"/>
      <c r="H57" s="151"/>
      <c r="I57" s="151"/>
      <c r="J57" s="151"/>
      <c r="K57" s="151"/>
      <c r="L57" s="151"/>
      <c r="M57" s="151"/>
      <c r="N57" s="151"/>
      <c r="O57" s="152"/>
    </row>
    <row r="58" spans="1:15" ht="16.5" thickTop="1" thickBot="1" x14ac:dyDescent="0.3">
      <c r="A58" s="108">
        <v>138570</v>
      </c>
      <c r="B58" s="108" t="s">
        <v>42</v>
      </c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1">
        <f t="shared" si="5"/>
        <v>0</v>
      </c>
    </row>
    <row r="59" spans="1:15" ht="13.5" thickTop="1" x14ac:dyDescent="0.2">
      <c r="A59" s="19">
        <v>138710</v>
      </c>
      <c r="B59" s="20" t="s">
        <v>43</v>
      </c>
      <c r="C59" s="17">
        <v>0</v>
      </c>
      <c r="D59" s="17">
        <v>0</v>
      </c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43">
        <f>SUM(C59:N59)</f>
        <v>0</v>
      </c>
    </row>
    <row r="60" spans="1:15" x14ac:dyDescent="0.2">
      <c r="A60" s="19">
        <v>138720</v>
      </c>
      <c r="B60" s="20" t="s">
        <v>44</v>
      </c>
      <c r="C60" s="17">
        <v>0</v>
      </c>
      <c r="D60" s="17">
        <v>0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43">
        <f>SUM(C60:N60)</f>
        <v>0</v>
      </c>
    </row>
    <row r="61" spans="1:15" x14ac:dyDescent="0.2">
      <c r="A61" s="19">
        <v>138910</v>
      </c>
      <c r="B61" s="20" t="s">
        <v>45</v>
      </c>
      <c r="C61" s="17">
        <v>0</v>
      </c>
      <c r="D61" s="17">
        <v>0</v>
      </c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43">
        <f>SUM(C61:N61)</f>
        <v>0</v>
      </c>
    </row>
    <row r="62" spans="1:15" x14ac:dyDescent="0.2">
      <c r="A62" s="19">
        <v>139010</v>
      </c>
      <c r="B62" s="20" t="s">
        <v>46</v>
      </c>
      <c r="C62" s="17">
        <v>0</v>
      </c>
      <c r="D62" s="17">
        <v>0</v>
      </c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43">
        <f>SUM(C62:N62)</f>
        <v>0</v>
      </c>
    </row>
    <row r="63" spans="1:15" x14ac:dyDescent="0.2">
      <c r="A63" s="19">
        <v>139410</v>
      </c>
      <c r="B63" s="20" t="s">
        <v>47</v>
      </c>
      <c r="C63" s="17">
        <v>0</v>
      </c>
      <c r="D63" s="17">
        <v>0</v>
      </c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43">
        <f>SUM(C63:N63)</f>
        <v>0</v>
      </c>
    </row>
    <row r="64" spans="1:15" x14ac:dyDescent="0.2">
      <c r="A64" s="19"/>
      <c r="B64" s="20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43"/>
    </row>
    <row r="65" spans="1:15" x14ac:dyDescent="0.2">
      <c r="A65" s="19"/>
      <c r="B65" s="20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43"/>
    </row>
    <row r="66" spans="1:15" x14ac:dyDescent="0.2">
      <c r="A66" s="19">
        <v>145000</v>
      </c>
      <c r="B66" s="20" t="s">
        <v>52</v>
      </c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43">
        <f>SUM(C66:N66)</f>
        <v>0</v>
      </c>
    </row>
    <row r="67" spans="1:15" ht="15.75" thickBot="1" x14ac:dyDescent="0.3">
      <c r="A67" s="21">
        <v>145100</v>
      </c>
      <c r="B67" s="21" t="s">
        <v>53</v>
      </c>
      <c r="C67" s="22">
        <f>SUM(C68:C70)</f>
        <v>5530</v>
      </c>
      <c r="D67" s="22"/>
      <c r="E67" s="22"/>
      <c r="F67" s="22">
        <f>SUM(F68:F70)</f>
        <v>790</v>
      </c>
      <c r="G67" s="22"/>
      <c r="H67" s="22"/>
      <c r="I67" s="22"/>
      <c r="J67" s="22"/>
      <c r="K67" s="22"/>
      <c r="L67" s="22"/>
      <c r="M67" s="22"/>
      <c r="N67" s="22">
        <f>SUM(N68:N69)</f>
        <v>1509</v>
      </c>
      <c r="O67" s="23">
        <f>SUM(C67:N67)</f>
        <v>7829</v>
      </c>
    </row>
    <row r="68" spans="1:15" ht="13.5" thickTop="1" x14ac:dyDescent="0.2">
      <c r="A68" s="19">
        <v>145210</v>
      </c>
      <c r="B68" s="20" t="s">
        <v>54</v>
      </c>
      <c r="C68" s="17">
        <v>0</v>
      </c>
      <c r="D68" s="17">
        <v>0</v>
      </c>
      <c r="E68" s="17"/>
      <c r="F68" s="17">
        <v>0</v>
      </c>
      <c r="G68" s="17"/>
      <c r="H68" s="17"/>
      <c r="I68" s="17"/>
      <c r="J68" s="17"/>
      <c r="K68" s="17"/>
      <c r="L68" s="17"/>
      <c r="M68" s="17"/>
      <c r="N68" s="17"/>
      <c r="O68" s="43">
        <f>SUM(C68:N68)</f>
        <v>0</v>
      </c>
    </row>
    <row r="69" spans="1:15" x14ac:dyDescent="0.2">
      <c r="A69" s="19">
        <v>145310</v>
      </c>
      <c r="B69" s="20" t="s">
        <v>55</v>
      </c>
      <c r="C69" s="17">
        <v>5530</v>
      </c>
      <c r="D69" s="17">
        <v>0</v>
      </c>
      <c r="E69" s="17"/>
      <c r="F69" s="17">
        <v>790</v>
      </c>
      <c r="G69" s="17"/>
      <c r="H69" s="17"/>
      <c r="I69" s="17"/>
      <c r="J69" s="17"/>
      <c r="K69" s="17"/>
      <c r="L69" s="17"/>
      <c r="M69" s="17"/>
      <c r="N69" s="17">
        <f>VLOOKUP(A69,'Afixo Aquisição  12 20 '!A:F,6,0)</f>
        <v>1509</v>
      </c>
      <c r="O69" s="43">
        <f>SUM(C69:N69)</f>
        <v>7829</v>
      </c>
    </row>
    <row r="70" spans="1:15" x14ac:dyDescent="0.2">
      <c r="A70" s="19"/>
      <c r="B70" s="20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43"/>
    </row>
    <row r="71" spans="1:15" x14ac:dyDescent="0.2">
      <c r="A71" s="19"/>
      <c r="B71" s="20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43"/>
    </row>
    <row r="72" spans="1:15" x14ac:dyDescent="0.2">
      <c r="A72" s="19">
        <v>147000</v>
      </c>
      <c r="B72" s="20" t="s">
        <v>58</v>
      </c>
      <c r="C72" s="17">
        <v>0</v>
      </c>
      <c r="D72" s="17">
        <v>0</v>
      </c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43">
        <f>SUM(C72:N72)</f>
        <v>0</v>
      </c>
    </row>
    <row r="73" spans="1:15" x14ac:dyDescent="0.2">
      <c r="A73" s="19">
        <v>147020</v>
      </c>
      <c r="B73" s="20" t="s">
        <v>54</v>
      </c>
      <c r="C73" s="17">
        <v>0</v>
      </c>
      <c r="D73" s="17">
        <v>0</v>
      </c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43">
        <f>SUM(C73:N73)</f>
        <v>0</v>
      </c>
    </row>
    <row r="74" spans="1:15" ht="13.5" thickBot="1" x14ac:dyDescent="0.25">
      <c r="A74" s="24"/>
      <c r="B74" s="25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45"/>
    </row>
    <row r="75" spans="1:15" ht="13.5" thickTop="1" x14ac:dyDescent="0.2"/>
  </sheetData>
  <autoFilter ref="A4:O75" xr:uid="{1A0C0B93-8402-452E-9CFE-AF02236E00AB}"/>
  <phoneticPr fontId="9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64" orientation="landscape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2:O103"/>
  <sheetViews>
    <sheetView showGridLines="0" zoomScale="80" zoomScaleNormal="80" workbookViewId="0">
      <pane ySplit="4" topLeftCell="A43" activePane="bottomLeft" state="frozen"/>
      <selection activeCell="G23" sqref="G23"/>
      <selection pane="bottomLeft" activeCell="O58" sqref="O58"/>
    </sheetView>
  </sheetViews>
  <sheetFormatPr defaultColWidth="12.5703125" defaultRowHeight="12.75" x14ac:dyDescent="0.2"/>
  <cols>
    <col min="1" max="1" width="11.42578125" customWidth="1"/>
    <col min="2" max="2" width="57" bestFit="1" customWidth="1"/>
    <col min="3" max="3" width="11.7109375" style="1" bestFit="1" customWidth="1"/>
    <col min="4" max="4" width="11.85546875" bestFit="1" customWidth="1"/>
    <col min="5" max="5" width="12.7109375" bestFit="1" customWidth="1"/>
    <col min="6" max="6" width="12.140625" bestFit="1" customWidth="1"/>
    <col min="7" max="7" width="12.42578125" bestFit="1" customWidth="1"/>
    <col min="8" max="8" width="12.7109375" bestFit="1" customWidth="1"/>
    <col min="9" max="9" width="12" bestFit="1" customWidth="1"/>
    <col min="10" max="10" width="12.42578125" bestFit="1" customWidth="1"/>
    <col min="11" max="12" width="12.140625" bestFit="1" customWidth="1"/>
    <col min="13" max="14" width="12.42578125" bestFit="1" customWidth="1"/>
    <col min="15" max="15" width="14.85546875" style="1" bestFit="1" customWidth="1"/>
    <col min="257" max="257" width="11.42578125" customWidth="1"/>
    <col min="258" max="258" width="57" bestFit="1" customWidth="1"/>
    <col min="259" max="259" width="11.7109375" bestFit="1" customWidth="1"/>
    <col min="260" max="260" width="11.85546875" bestFit="1" customWidth="1"/>
    <col min="261" max="261" width="12.7109375" bestFit="1" customWidth="1"/>
    <col min="262" max="262" width="12.140625" bestFit="1" customWidth="1"/>
    <col min="263" max="263" width="12.42578125" bestFit="1" customWidth="1"/>
    <col min="264" max="264" width="12.7109375" bestFit="1" customWidth="1"/>
    <col min="265" max="265" width="11.28515625" bestFit="1" customWidth="1"/>
    <col min="266" max="266" width="12.42578125" bestFit="1" customWidth="1"/>
    <col min="267" max="268" width="12.140625" bestFit="1" customWidth="1"/>
    <col min="269" max="270" width="12.42578125" bestFit="1" customWidth="1"/>
    <col min="271" max="271" width="13.5703125" bestFit="1" customWidth="1"/>
    <col min="513" max="513" width="11.42578125" customWidth="1"/>
    <col min="514" max="514" width="57" bestFit="1" customWidth="1"/>
    <col min="515" max="515" width="11.7109375" bestFit="1" customWidth="1"/>
    <col min="516" max="516" width="11.85546875" bestFit="1" customWidth="1"/>
    <col min="517" max="517" width="12.7109375" bestFit="1" customWidth="1"/>
    <col min="518" max="518" width="12.140625" bestFit="1" customWidth="1"/>
    <col min="519" max="519" width="12.42578125" bestFit="1" customWidth="1"/>
    <col min="520" max="520" width="12.7109375" bestFit="1" customWidth="1"/>
    <col min="521" max="521" width="11.28515625" bestFit="1" customWidth="1"/>
    <col min="522" max="522" width="12.42578125" bestFit="1" customWidth="1"/>
    <col min="523" max="524" width="12.140625" bestFit="1" customWidth="1"/>
    <col min="525" max="526" width="12.42578125" bestFit="1" customWidth="1"/>
    <col min="527" max="527" width="13.5703125" bestFit="1" customWidth="1"/>
    <col min="769" max="769" width="11.42578125" customWidth="1"/>
    <col min="770" max="770" width="57" bestFit="1" customWidth="1"/>
    <col min="771" max="771" width="11.7109375" bestFit="1" customWidth="1"/>
    <col min="772" max="772" width="11.85546875" bestFit="1" customWidth="1"/>
    <col min="773" max="773" width="12.7109375" bestFit="1" customWidth="1"/>
    <col min="774" max="774" width="12.140625" bestFit="1" customWidth="1"/>
    <col min="775" max="775" width="12.42578125" bestFit="1" customWidth="1"/>
    <col min="776" max="776" width="12.7109375" bestFit="1" customWidth="1"/>
    <col min="777" max="777" width="11.28515625" bestFit="1" customWidth="1"/>
    <col min="778" max="778" width="12.42578125" bestFit="1" customWidth="1"/>
    <col min="779" max="780" width="12.140625" bestFit="1" customWidth="1"/>
    <col min="781" max="782" width="12.42578125" bestFit="1" customWidth="1"/>
    <col min="783" max="783" width="13.5703125" bestFit="1" customWidth="1"/>
    <col min="1025" max="1025" width="11.42578125" customWidth="1"/>
    <col min="1026" max="1026" width="57" bestFit="1" customWidth="1"/>
    <col min="1027" max="1027" width="11.7109375" bestFit="1" customWidth="1"/>
    <col min="1028" max="1028" width="11.85546875" bestFit="1" customWidth="1"/>
    <col min="1029" max="1029" width="12.7109375" bestFit="1" customWidth="1"/>
    <col min="1030" max="1030" width="12.140625" bestFit="1" customWidth="1"/>
    <col min="1031" max="1031" width="12.42578125" bestFit="1" customWidth="1"/>
    <col min="1032" max="1032" width="12.7109375" bestFit="1" customWidth="1"/>
    <col min="1033" max="1033" width="11.28515625" bestFit="1" customWidth="1"/>
    <col min="1034" max="1034" width="12.42578125" bestFit="1" customWidth="1"/>
    <col min="1035" max="1036" width="12.140625" bestFit="1" customWidth="1"/>
    <col min="1037" max="1038" width="12.42578125" bestFit="1" customWidth="1"/>
    <col min="1039" max="1039" width="13.5703125" bestFit="1" customWidth="1"/>
    <col min="1281" max="1281" width="11.42578125" customWidth="1"/>
    <col min="1282" max="1282" width="57" bestFit="1" customWidth="1"/>
    <col min="1283" max="1283" width="11.7109375" bestFit="1" customWidth="1"/>
    <col min="1284" max="1284" width="11.85546875" bestFit="1" customWidth="1"/>
    <col min="1285" max="1285" width="12.7109375" bestFit="1" customWidth="1"/>
    <col min="1286" max="1286" width="12.140625" bestFit="1" customWidth="1"/>
    <col min="1287" max="1287" width="12.42578125" bestFit="1" customWidth="1"/>
    <col min="1288" max="1288" width="12.7109375" bestFit="1" customWidth="1"/>
    <col min="1289" max="1289" width="11.28515625" bestFit="1" customWidth="1"/>
    <col min="1290" max="1290" width="12.42578125" bestFit="1" customWidth="1"/>
    <col min="1291" max="1292" width="12.140625" bestFit="1" customWidth="1"/>
    <col min="1293" max="1294" width="12.42578125" bestFit="1" customWidth="1"/>
    <col min="1295" max="1295" width="13.5703125" bestFit="1" customWidth="1"/>
    <col min="1537" max="1537" width="11.42578125" customWidth="1"/>
    <col min="1538" max="1538" width="57" bestFit="1" customWidth="1"/>
    <col min="1539" max="1539" width="11.7109375" bestFit="1" customWidth="1"/>
    <col min="1540" max="1540" width="11.85546875" bestFit="1" customWidth="1"/>
    <col min="1541" max="1541" width="12.7109375" bestFit="1" customWidth="1"/>
    <col min="1542" max="1542" width="12.140625" bestFit="1" customWidth="1"/>
    <col min="1543" max="1543" width="12.42578125" bestFit="1" customWidth="1"/>
    <col min="1544" max="1544" width="12.7109375" bestFit="1" customWidth="1"/>
    <col min="1545" max="1545" width="11.28515625" bestFit="1" customWidth="1"/>
    <col min="1546" max="1546" width="12.42578125" bestFit="1" customWidth="1"/>
    <col min="1547" max="1548" width="12.140625" bestFit="1" customWidth="1"/>
    <col min="1549" max="1550" width="12.42578125" bestFit="1" customWidth="1"/>
    <col min="1551" max="1551" width="13.5703125" bestFit="1" customWidth="1"/>
    <col min="1793" max="1793" width="11.42578125" customWidth="1"/>
    <col min="1794" max="1794" width="57" bestFit="1" customWidth="1"/>
    <col min="1795" max="1795" width="11.7109375" bestFit="1" customWidth="1"/>
    <col min="1796" max="1796" width="11.85546875" bestFit="1" customWidth="1"/>
    <col min="1797" max="1797" width="12.7109375" bestFit="1" customWidth="1"/>
    <col min="1798" max="1798" width="12.140625" bestFit="1" customWidth="1"/>
    <col min="1799" max="1799" width="12.42578125" bestFit="1" customWidth="1"/>
    <col min="1800" max="1800" width="12.7109375" bestFit="1" customWidth="1"/>
    <col min="1801" max="1801" width="11.28515625" bestFit="1" customWidth="1"/>
    <col min="1802" max="1802" width="12.42578125" bestFit="1" customWidth="1"/>
    <col min="1803" max="1804" width="12.140625" bestFit="1" customWidth="1"/>
    <col min="1805" max="1806" width="12.42578125" bestFit="1" customWidth="1"/>
    <col min="1807" max="1807" width="13.5703125" bestFit="1" customWidth="1"/>
    <col min="2049" max="2049" width="11.42578125" customWidth="1"/>
    <col min="2050" max="2050" width="57" bestFit="1" customWidth="1"/>
    <col min="2051" max="2051" width="11.7109375" bestFit="1" customWidth="1"/>
    <col min="2052" max="2052" width="11.85546875" bestFit="1" customWidth="1"/>
    <col min="2053" max="2053" width="12.7109375" bestFit="1" customWidth="1"/>
    <col min="2054" max="2054" width="12.140625" bestFit="1" customWidth="1"/>
    <col min="2055" max="2055" width="12.42578125" bestFit="1" customWidth="1"/>
    <col min="2056" max="2056" width="12.7109375" bestFit="1" customWidth="1"/>
    <col min="2057" max="2057" width="11.28515625" bestFit="1" customWidth="1"/>
    <col min="2058" max="2058" width="12.42578125" bestFit="1" customWidth="1"/>
    <col min="2059" max="2060" width="12.140625" bestFit="1" customWidth="1"/>
    <col min="2061" max="2062" width="12.42578125" bestFit="1" customWidth="1"/>
    <col min="2063" max="2063" width="13.5703125" bestFit="1" customWidth="1"/>
    <col min="2305" max="2305" width="11.42578125" customWidth="1"/>
    <col min="2306" max="2306" width="57" bestFit="1" customWidth="1"/>
    <col min="2307" max="2307" width="11.7109375" bestFit="1" customWidth="1"/>
    <col min="2308" max="2308" width="11.85546875" bestFit="1" customWidth="1"/>
    <col min="2309" max="2309" width="12.7109375" bestFit="1" customWidth="1"/>
    <col min="2310" max="2310" width="12.140625" bestFit="1" customWidth="1"/>
    <col min="2311" max="2311" width="12.42578125" bestFit="1" customWidth="1"/>
    <col min="2312" max="2312" width="12.7109375" bestFit="1" customWidth="1"/>
    <col min="2313" max="2313" width="11.28515625" bestFit="1" customWidth="1"/>
    <col min="2314" max="2314" width="12.42578125" bestFit="1" customWidth="1"/>
    <col min="2315" max="2316" width="12.140625" bestFit="1" customWidth="1"/>
    <col min="2317" max="2318" width="12.42578125" bestFit="1" customWidth="1"/>
    <col min="2319" max="2319" width="13.5703125" bestFit="1" customWidth="1"/>
    <col min="2561" max="2561" width="11.42578125" customWidth="1"/>
    <col min="2562" max="2562" width="57" bestFit="1" customWidth="1"/>
    <col min="2563" max="2563" width="11.7109375" bestFit="1" customWidth="1"/>
    <col min="2564" max="2564" width="11.85546875" bestFit="1" customWidth="1"/>
    <col min="2565" max="2565" width="12.7109375" bestFit="1" customWidth="1"/>
    <col min="2566" max="2566" width="12.140625" bestFit="1" customWidth="1"/>
    <col min="2567" max="2567" width="12.42578125" bestFit="1" customWidth="1"/>
    <col min="2568" max="2568" width="12.7109375" bestFit="1" customWidth="1"/>
    <col min="2569" max="2569" width="11.28515625" bestFit="1" customWidth="1"/>
    <col min="2570" max="2570" width="12.42578125" bestFit="1" customWidth="1"/>
    <col min="2571" max="2572" width="12.140625" bestFit="1" customWidth="1"/>
    <col min="2573" max="2574" width="12.42578125" bestFit="1" customWidth="1"/>
    <col min="2575" max="2575" width="13.5703125" bestFit="1" customWidth="1"/>
    <col min="2817" max="2817" width="11.42578125" customWidth="1"/>
    <col min="2818" max="2818" width="57" bestFit="1" customWidth="1"/>
    <col min="2819" max="2819" width="11.7109375" bestFit="1" customWidth="1"/>
    <col min="2820" max="2820" width="11.85546875" bestFit="1" customWidth="1"/>
    <col min="2821" max="2821" width="12.7109375" bestFit="1" customWidth="1"/>
    <col min="2822" max="2822" width="12.140625" bestFit="1" customWidth="1"/>
    <col min="2823" max="2823" width="12.42578125" bestFit="1" customWidth="1"/>
    <col min="2824" max="2824" width="12.7109375" bestFit="1" customWidth="1"/>
    <col min="2825" max="2825" width="11.28515625" bestFit="1" customWidth="1"/>
    <col min="2826" max="2826" width="12.42578125" bestFit="1" customWidth="1"/>
    <col min="2827" max="2828" width="12.140625" bestFit="1" customWidth="1"/>
    <col min="2829" max="2830" width="12.42578125" bestFit="1" customWidth="1"/>
    <col min="2831" max="2831" width="13.5703125" bestFit="1" customWidth="1"/>
    <col min="3073" max="3073" width="11.42578125" customWidth="1"/>
    <col min="3074" max="3074" width="57" bestFit="1" customWidth="1"/>
    <col min="3075" max="3075" width="11.7109375" bestFit="1" customWidth="1"/>
    <col min="3076" max="3076" width="11.85546875" bestFit="1" customWidth="1"/>
    <col min="3077" max="3077" width="12.7109375" bestFit="1" customWidth="1"/>
    <col min="3078" max="3078" width="12.140625" bestFit="1" customWidth="1"/>
    <col min="3079" max="3079" width="12.42578125" bestFit="1" customWidth="1"/>
    <col min="3080" max="3080" width="12.7109375" bestFit="1" customWidth="1"/>
    <col min="3081" max="3081" width="11.28515625" bestFit="1" customWidth="1"/>
    <col min="3082" max="3082" width="12.42578125" bestFit="1" customWidth="1"/>
    <col min="3083" max="3084" width="12.140625" bestFit="1" customWidth="1"/>
    <col min="3085" max="3086" width="12.42578125" bestFit="1" customWidth="1"/>
    <col min="3087" max="3087" width="13.5703125" bestFit="1" customWidth="1"/>
    <col min="3329" max="3329" width="11.42578125" customWidth="1"/>
    <col min="3330" max="3330" width="57" bestFit="1" customWidth="1"/>
    <col min="3331" max="3331" width="11.7109375" bestFit="1" customWidth="1"/>
    <col min="3332" max="3332" width="11.85546875" bestFit="1" customWidth="1"/>
    <col min="3333" max="3333" width="12.7109375" bestFit="1" customWidth="1"/>
    <col min="3334" max="3334" width="12.140625" bestFit="1" customWidth="1"/>
    <col min="3335" max="3335" width="12.42578125" bestFit="1" customWidth="1"/>
    <col min="3336" max="3336" width="12.7109375" bestFit="1" customWidth="1"/>
    <col min="3337" max="3337" width="11.28515625" bestFit="1" customWidth="1"/>
    <col min="3338" max="3338" width="12.42578125" bestFit="1" customWidth="1"/>
    <col min="3339" max="3340" width="12.140625" bestFit="1" customWidth="1"/>
    <col min="3341" max="3342" width="12.42578125" bestFit="1" customWidth="1"/>
    <col min="3343" max="3343" width="13.5703125" bestFit="1" customWidth="1"/>
    <col min="3585" max="3585" width="11.42578125" customWidth="1"/>
    <col min="3586" max="3586" width="57" bestFit="1" customWidth="1"/>
    <col min="3587" max="3587" width="11.7109375" bestFit="1" customWidth="1"/>
    <col min="3588" max="3588" width="11.85546875" bestFit="1" customWidth="1"/>
    <col min="3589" max="3589" width="12.7109375" bestFit="1" customWidth="1"/>
    <col min="3590" max="3590" width="12.140625" bestFit="1" customWidth="1"/>
    <col min="3591" max="3591" width="12.42578125" bestFit="1" customWidth="1"/>
    <col min="3592" max="3592" width="12.7109375" bestFit="1" customWidth="1"/>
    <col min="3593" max="3593" width="11.28515625" bestFit="1" customWidth="1"/>
    <col min="3594" max="3594" width="12.42578125" bestFit="1" customWidth="1"/>
    <col min="3595" max="3596" width="12.140625" bestFit="1" customWidth="1"/>
    <col min="3597" max="3598" width="12.42578125" bestFit="1" customWidth="1"/>
    <col min="3599" max="3599" width="13.5703125" bestFit="1" customWidth="1"/>
    <col min="3841" max="3841" width="11.42578125" customWidth="1"/>
    <col min="3842" max="3842" width="57" bestFit="1" customWidth="1"/>
    <col min="3843" max="3843" width="11.7109375" bestFit="1" customWidth="1"/>
    <col min="3844" max="3844" width="11.85546875" bestFit="1" customWidth="1"/>
    <col min="3845" max="3845" width="12.7109375" bestFit="1" customWidth="1"/>
    <col min="3846" max="3846" width="12.140625" bestFit="1" customWidth="1"/>
    <col min="3847" max="3847" width="12.42578125" bestFit="1" customWidth="1"/>
    <col min="3848" max="3848" width="12.7109375" bestFit="1" customWidth="1"/>
    <col min="3849" max="3849" width="11.28515625" bestFit="1" customWidth="1"/>
    <col min="3850" max="3850" width="12.42578125" bestFit="1" customWidth="1"/>
    <col min="3851" max="3852" width="12.140625" bestFit="1" customWidth="1"/>
    <col min="3853" max="3854" width="12.42578125" bestFit="1" customWidth="1"/>
    <col min="3855" max="3855" width="13.5703125" bestFit="1" customWidth="1"/>
    <col min="4097" max="4097" width="11.42578125" customWidth="1"/>
    <col min="4098" max="4098" width="57" bestFit="1" customWidth="1"/>
    <col min="4099" max="4099" width="11.7109375" bestFit="1" customWidth="1"/>
    <col min="4100" max="4100" width="11.85546875" bestFit="1" customWidth="1"/>
    <col min="4101" max="4101" width="12.7109375" bestFit="1" customWidth="1"/>
    <col min="4102" max="4102" width="12.140625" bestFit="1" customWidth="1"/>
    <col min="4103" max="4103" width="12.42578125" bestFit="1" customWidth="1"/>
    <col min="4104" max="4104" width="12.7109375" bestFit="1" customWidth="1"/>
    <col min="4105" max="4105" width="11.28515625" bestFit="1" customWidth="1"/>
    <col min="4106" max="4106" width="12.42578125" bestFit="1" customWidth="1"/>
    <col min="4107" max="4108" width="12.140625" bestFit="1" customWidth="1"/>
    <col min="4109" max="4110" width="12.42578125" bestFit="1" customWidth="1"/>
    <col min="4111" max="4111" width="13.5703125" bestFit="1" customWidth="1"/>
    <col min="4353" max="4353" width="11.42578125" customWidth="1"/>
    <col min="4354" max="4354" width="57" bestFit="1" customWidth="1"/>
    <col min="4355" max="4355" width="11.7109375" bestFit="1" customWidth="1"/>
    <col min="4356" max="4356" width="11.85546875" bestFit="1" customWidth="1"/>
    <col min="4357" max="4357" width="12.7109375" bestFit="1" customWidth="1"/>
    <col min="4358" max="4358" width="12.140625" bestFit="1" customWidth="1"/>
    <col min="4359" max="4359" width="12.42578125" bestFit="1" customWidth="1"/>
    <col min="4360" max="4360" width="12.7109375" bestFit="1" customWidth="1"/>
    <col min="4361" max="4361" width="11.28515625" bestFit="1" customWidth="1"/>
    <col min="4362" max="4362" width="12.42578125" bestFit="1" customWidth="1"/>
    <col min="4363" max="4364" width="12.140625" bestFit="1" customWidth="1"/>
    <col min="4365" max="4366" width="12.42578125" bestFit="1" customWidth="1"/>
    <col min="4367" max="4367" width="13.5703125" bestFit="1" customWidth="1"/>
    <col min="4609" max="4609" width="11.42578125" customWidth="1"/>
    <col min="4610" max="4610" width="57" bestFit="1" customWidth="1"/>
    <col min="4611" max="4611" width="11.7109375" bestFit="1" customWidth="1"/>
    <col min="4612" max="4612" width="11.85546875" bestFit="1" customWidth="1"/>
    <col min="4613" max="4613" width="12.7109375" bestFit="1" customWidth="1"/>
    <col min="4614" max="4614" width="12.140625" bestFit="1" customWidth="1"/>
    <col min="4615" max="4615" width="12.42578125" bestFit="1" customWidth="1"/>
    <col min="4616" max="4616" width="12.7109375" bestFit="1" customWidth="1"/>
    <col min="4617" max="4617" width="11.28515625" bestFit="1" customWidth="1"/>
    <col min="4618" max="4618" width="12.42578125" bestFit="1" customWidth="1"/>
    <col min="4619" max="4620" width="12.140625" bestFit="1" customWidth="1"/>
    <col min="4621" max="4622" width="12.42578125" bestFit="1" customWidth="1"/>
    <col min="4623" max="4623" width="13.5703125" bestFit="1" customWidth="1"/>
    <col min="4865" max="4865" width="11.42578125" customWidth="1"/>
    <col min="4866" max="4866" width="57" bestFit="1" customWidth="1"/>
    <col min="4867" max="4867" width="11.7109375" bestFit="1" customWidth="1"/>
    <col min="4868" max="4868" width="11.85546875" bestFit="1" customWidth="1"/>
    <col min="4869" max="4869" width="12.7109375" bestFit="1" customWidth="1"/>
    <col min="4870" max="4870" width="12.140625" bestFit="1" customWidth="1"/>
    <col min="4871" max="4871" width="12.42578125" bestFit="1" customWidth="1"/>
    <col min="4872" max="4872" width="12.7109375" bestFit="1" customWidth="1"/>
    <col min="4873" max="4873" width="11.28515625" bestFit="1" customWidth="1"/>
    <col min="4874" max="4874" width="12.42578125" bestFit="1" customWidth="1"/>
    <col min="4875" max="4876" width="12.140625" bestFit="1" customWidth="1"/>
    <col min="4877" max="4878" width="12.42578125" bestFit="1" customWidth="1"/>
    <col min="4879" max="4879" width="13.5703125" bestFit="1" customWidth="1"/>
    <col min="5121" max="5121" width="11.42578125" customWidth="1"/>
    <col min="5122" max="5122" width="57" bestFit="1" customWidth="1"/>
    <col min="5123" max="5123" width="11.7109375" bestFit="1" customWidth="1"/>
    <col min="5124" max="5124" width="11.85546875" bestFit="1" customWidth="1"/>
    <col min="5125" max="5125" width="12.7109375" bestFit="1" customWidth="1"/>
    <col min="5126" max="5126" width="12.140625" bestFit="1" customWidth="1"/>
    <col min="5127" max="5127" width="12.42578125" bestFit="1" customWidth="1"/>
    <col min="5128" max="5128" width="12.7109375" bestFit="1" customWidth="1"/>
    <col min="5129" max="5129" width="11.28515625" bestFit="1" customWidth="1"/>
    <col min="5130" max="5130" width="12.42578125" bestFit="1" customWidth="1"/>
    <col min="5131" max="5132" width="12.140625" bestFit="1" customWidth="1"/>
    <col min="5133" max="5134" width="12.42578125" bestFit="1" customWidth="1"/>
    <col min="5135" max="5135" width="13.5703125" bestFit="1" customWidth="1"/>
    <col min="5377" max="5377" width="11.42578125" customWidth="1"/>
    <col min="5378" max="5378" width="57" bestFit="1" customWidth="1"/>
    <col min="5379" max="5379" width="11.7109375" bestFit="1" customWidth="1"/>
    <col min="5380" max="5380" width="11.85546875" bestFit="1" customWidth="1"/>
    <col min="5381" max="5381" width="12.7109375" bestFit="1" customWidth="1"/>
    <col min="5382" max="5382" width="12.140625" bestFit="1" customWidth="1"/>
    <col min="5383" max="5383" width="12.42578125" bestFit="1" customWidth="1"/>
    <col min="5384" max="5384" width="12.7109375" bestFit="1" customWidth="1"/>
    <col min="5385" max="5385" width="11.28515625" bestFit="1" customWidth="1"/>
    <col min="5386" max="5386" width="12.42578125" bestFit="1" customWidth="1"/>
    <col min="5387" max="5388" width="12.140625" bestFit="1" customWidth="1"/>
    <col min="5389" max="5390" width="12.42578125" bestFit="1" customWidth="1"/>
    <col min="5391" max="5391" width="13.5703125" bestFit="1" customWidth="1"/>
    <col min="5633" max="5633" width="11.42578125" customWidth="1"/>
    <col min="5634" max="5634" width="57" bestFit="1" customWidth="1"/>
    <col min="5635" max="5635" width="11.7109375" bestFit="1" customWidth="1"/>
    <col min="5636" max="5636" width="11.85546875" bestFit="1" customWidth="1"/>
    <col min="5637" max="5637" width="12.7109375" bestFit="1" customWidth="1"/>
    <col min="5638" max="5638" width="12.140625" bestFit="1" customWidth="1"/>
    <col min="5639" max="5639" width="12.42578125" bestFit="1" customWidth="1"/>
    <col min="5640" max="5640" width="12.7109375" bestFit="1" customWidth="1"/>
    <col min="5641" max="5641" width="11.28515625" bestFit="1" customWidth="1"/>
    <col min="5642" max="5642" width="12.42578125" bestFit="1" customWidth="1"/>
    <col min="5643" max="5644" width="12.140625" bestFit="1" customWidth="1"/>
    <col min="5645" max="5646" width="12.42578125" bestFit="1" customWidth="1"/>
    <col min="5647" max="5647" width="13.5703125" bestFit="1" customWidth="1"/>
    <col min="5889" max="5889" width="11.42578125" customWidth="1"/>
    <col min="5890" max="5890" width="57" bestFit="1" customWidth="1"/>
    <col min="5891" max="5891" width="11.7109375" bestFit="1" customWidth="1"/>
    <col min="5892" max="5892" width="11.85546875" bestFit="1" customWidth="1"/>
    <col min="5893" max="5893" width="12.7109375" bestFit="1" customWidth="1"/>
    <col min="5894" max="5894" width="12.140625" bestFit="1" customWidth="1"/>
    <col min="5895" max="5895" width="12.42578125" bestFit="1" customWidth="1"/>
    <col min="5896" max="5896" width="12.7109375" bestFit="1" customWidth="1"/>
    <col min="5897" max="5897" width="11.28515625" bestFit="1" customWidth="1"/>
    <col min="5898" max="5898" width="12.42578125" bestFit="1" customWidth="1"/>
    <col min="5899" max="5900" width="12.140625" bestFit="1" customWidth="1"/>
    <col min="5901" max="5902" width="12.42578125" bestFit="1" customWidth="1"/>
    <col min="5903" max="5903" width="13.5703125" bestFit="1" customWidth="1"/>
    <col min="6145" max="6145" width="11.42578125" customWidth="1"/>
    <col min="6146" max="6146" width="57" bestFit="1" customWidth="1"/>
    <col min="6147" max="6147" width="11.7109375" bestFit="1" customWidth="1"/>
    <col min="6148" max="6148" width="11.85546875" bestFit="1" customWidth="1"/>
    <col min="6149" max="6149" width="12.7109375" bestFit="1" customWidth="1"/>
    <col min="6150" max="6150" width="12.140625" bestFit="1" customWidth="1"/>
    <col min="6151" max="6151" width="12.42578125" bestFit="1" customWidth="1"/>
    <col min="6152" max="6152" width="12.7109375" bestFit="1" customWidth="1"/>
    <col min="6153" max="6153" width="11.28515625" bestFit="1" customWidth="1"/>
    <col min="6154" max="6154" width="12.42578125" bestFit="1" customWidth="1"/>
    <col min="6155" max="6156" width="12.140625" bestFit="1" customWidth="1"/>
    <col min="6157" max="6158" width="12.42578125" bestFit="1" customWidth="1"/>
    <col min="6159" max="6159" width="13.5703125" bestFit="1" customWidth="1"/>
    <col min="6401" max="6401" width="11.42578125" customWidth="1"/>
    <col min="6402" max="6402" width="57" bestFit="1" customWidth="1"/>
    <col min="6403" max="6403" width="11.7109375" bestFit="1" customWidth="1"/>
    <col min="6404" max="6404" width="11.85546875" bestFit="1" customWidth="1"/>
    <col min="6405" max="6405" width="12.7109375" bestFit="1" customWidth="1"/>
    <col min="6406" max="6406" width="12.140625" bestFit="1" customWidth="1"/>
    <col min="6407" max="6407" width="12.42578125" bestFit="1" customWidth="1"/>
    <col min="6408" max="6408" width="12.7109375" bestFit="1" customWidth="1"/>
    <col min="6409" max="6409" width="11.28515625" bestFit="1" customWidth="1"/>
    <col min="6410" max="6410" width="12.42578125" bestFit="1" customWidth="1"/>
    <col min="6411" max="6412" width="12.140625" bestFit="1" customWidth="1"/>
    <col min="6413" max="6414" width="12.42578125" bestFit="1" customWidth="1"/>
    <col min="6415" max="6415" width="13.5703125" bestFit="1" customWidth="1"/>
    <col min="6657" max="6657" width="11.42578125" customWidth="1"/>
    <col min="6658" max="6658" width="57" bestFit="1" customWidth="1"/>
    <col min="6659" max="6659" width="11.7109375" bestFit="1" customWidth="1"/>
    <col min="6660" max="6660" width="11.85546875" bestFit="1" customWidth="1"/>
    <col min="6661" max="6661" width="12.7109375" bestFit="1" customWidth="1"/>
    <col min="6662" max="6662" width="12.140625" bestFit="1" customWidth="1"/>
    <col min="6663" max="6663" width="12.42578125" bestFit="1" customWidth="1"/>
    <col min="6664" max="6664" width="12.7109375" bestFit="1" customWidth="1"/>
    <col min="6665" max="6665" width="11.28515625" bestFit="1" customWidth="1"/>
    <col min="6666" max="6666" width="12.42578125" bestFit="1" customWidth="1"/>
    <col min="6667" max="6668" width="12.140625" bestFit="1" customWidth="1"/>
    <col min="6669" max="6670" width="12.42578125" bestFit="1" customWidth="1"/>
    <col min="6671" max="6671" width="13.5703125" bestFit="1" customWidth="1"/>
    <col min="6913" max="6913" width="11.42578125" customWidth="1"/>
    <col min="6914" max="6914" width="57" bestFit="1" customWidth="1"/>
    <col min="6915" max="6915" width="11.7109375" bestFit="1" customWidth="1"/>
    <col min="6916" max="6916" width="11.85546875" bestFit="1" customWidth="1"/>
    <col min="6917" max="6917" width="12.7109375" bestFit="1" customWidth="1"/>
    <col min="6918" max="6918" width="12.140625" bestFit="1" customWidth="1"/>
    <col min="6919" max="6919" width="12.42578125" bestFit="1" customWidth="1"/>
    <col min="6920" max="6920" width="12.7109375" bestFit="1" customWidth="1"/>
    <col min="6921" max="6921" width="11.28515625" bestFit="1" customWidth="1"/>
    <col min="6922" max="6922" width="12.42578125" bestFit="1" customWidth="1"/>
    <col min="6923" max="6924" width="12.140625" bestFit="1" customWidth="1"/>
    <col min="6925" max="6926" width="12.42578125" bestFit="1" customWidth="1"/>
    <col min="6927" max="6927" width="13.5703125" bestFit="1" customWidth="1"/>
    <col min="7169" max="7169" width="11.42578125" customWidth="1"/>
    <col min="7170" max="7170" width="57" bestFit="1" customWidth="1"/>
    <col min="7171" max="7171" width="11.7109375" bestFit="1" customWidth="1"/>
    <col min="7172" max="7172" width="11.85546875" bestFit="1" customWidth="1"/>
    <col min="7173" max="7173" width="12.7109375" bestFit="1" customWidth="1"/>
    <col min="7174" max="7174" width="12.140625" bestFit="1" customWidth="1"/>
    <col min="7175" max="7175" width="12.42578125" bestFit="1" customWidth="1"/>
    <col min="7176" max="7176" width="12.7109375" bestFit="1" customWidth="1"/>
    <col min="7177" max="7177" width="11.28515625" bestFit="1" customWidth="1"/>
    <col min="7178" max="7178" width="12.42578125" bestFit="1" customWidth="1"/>
    <col min="7179" max="7180" width="12.140625" bestFit="1" customWidth="1"/>
    <col min="7181" max="7182" width="12.42578125" bestFit="1" customWidth="1"/>
    <col min="7183" max="7183" width="13.5703125" bestFit="1" customWidth="1"/>
    <col min="7425" max="7425" width="11.42578125" customWidth="1"/>
    <col min="7426" max="7426" width="57" bestFit="1" customWidth="1"/>
    <col min="7427" max="7427" width="11.7109375" bestFit="1" customWidth="1"/>
    <col min="7428" max="7428" width="11.85546875" bestFit="1" customWidth="1"/>
    <col min="7429" max="7429" width="12.7109375" bestFit="1" customWidth="1"/>
    <col min="7430" max="7430" width="12.140625" bestFit="1" customWidth="1"/>
    <col min="7431" max="7431" width="12.42578125" bestFit="1" customWidth="1"/>
    <col min="7432" max="7432" width="12.7109375" bestFit="1" customWidth="1"/>
    <col min="7433" max="7433" width="11.28515625" bestFit="1" customWidth="1"/>
    <col min="7434" max="7434" width="12.42578125" bestFit="1" customWidth="1"/>
    <col min="7435" max="7436" width="12.140625" bestFit="1" customWidth="1"/>
    <col min="7437" max="7438" width="12.42578125" bestFit="1" customWidth="1"/>
    <col min="7439" max="7439" width="13.5703125" bestFit="1" customWidth="1"/>
    <col min="7681" max="7681" width="11.42578125" customWidth="1"/>
    <col min="7682" max="7682" width="57" bestFit="1" customWidth="1"/>
    <col min="7683" max="7683" width="11.7109375" bestFit="1" customWidth="1"/>
    <col min="7684" max="7684" width="11.85546875" bestFit="1" customWidth="1"/>
    <col min="7685" max="7685" width="12.7109375" bestFit="1" customWidth="1"/>
    <col min="7686" max="7686" width="12.140625" bestFit="1" customWidth="1"/>
    <col min="7687" max="7687" width="12.42578125" bestFit="1" customWidth="1"/>
    <col min="7688" max="7688" width="12.7109375" bestFit="1" customWidth="1"/>
    <col min="7689" max="7689" width="11.28515625" bestFit="1" customWidth="1"/>
    <col min="7690" max="7690" width="12.42578125" bestFit="1" customWidth="1"/>
    <col min="7691" max="7692" width="12.140625" bestFit="1" customWidth="1"/>
    <col min="7693" max="7694" width="12.42578125" bestFit="1" customWidth="1"/>
    <col min="7695" max="7695" width="13.5703125" bestFit="1" customWidth="1"/>
    <col min="7937" max="7937" width="11.42578125" customWidth="1"/>
    <col min="7938" max="7938" width="57" bestFit="1" customWidth="1"/>
    <col min="7939" max="7939" width="11.7109375" bestFit="1" customWidth="1"/>
    <col min="7940" max="7940" width="11.85546875" bestFit="1" customWidth="1"/>
    <col min="7941" max="7941" width="12.7109375" bestFit="1" customWidth="1"/>
    <col min="7942" max="7942" width="12.140625" bestFit="1" customWidth="1"/>
    <col min="7943" max="7943" width="12.42578125" bestFit="1" customWidth="1"/>
    <col min="7944" max="7944" width="12.7109375" bestFit="1" customWidth="1"/>
    <col min="7945" max="7945" width="11.28515625" bestFit="1" customWidth="1"/>
    <col min="7946" max="7946" width="12.42578125" bestFit="1" customWidth="1"/>
    <col min="7947" max="7948" width="12.140625" bestFit="1" customWidth="1"/>
    <col min="7949" max="7950" width="12.42578125" bestFit="1" customWidth="1"/>
    <col min="7951" max="7951" width="13.5703125" bestFit="1" customWidth="1"/>
    <col min="8193" max="8193" width="11.42578125" customWidth="1"/>
    <col min="8194" max="8194" width="57" bestFit="1" customWidth="1"/>
    <col min="8195" max="8195" width="11.7109375" bestFit="1" customWidth="1"/>
    <col min="8196" max="8196" width="11.85546875" bestFit="1" customWidth="1"/>
    <col min="8197" max="8197" width="12.7109375" bestFit="1" customWidth="1"/>
    <col min="8198" max="8198" width="12.140625" bestFit="1" customWidth="1"/>
    <col min="8199" max="8199" width="12.42578125" bestFit="1" customWidth="1"/>
    <col min="8200" max="8200" width="12.7109375" bestFit="1" customWidth="1"/>
    <col min="8201" max="8201" width="11.28515625" bestFit="1" customWidth="1"/>
    <col min="8202" max="8202" width="12.42578125" bestFit="1" customWidth="1"/>
    <col min="8203" max="8204" width="12.140625" bestFit="1" customWidth="1"/>
    <col min="8205" max="8206" width="12.42578125" bestFit="1" customWidth="1"/>
    <col min="8207" max="8207" width="13.5703125" bestFit="1" customWidth="1"/>
    <col min="8449" max="8449" width="11.42578125" customWidth="1"/>
    <col min="8450" max="8450" width="57" bestFit="1" customWidth="1"/>
    <col min="8451" max="8451" width="11.7109375" bestFit="1" customWidth="1"/>
    <col min="8452" max="8452" width="11.85546875" bestFit="1" customWidth="1"/>
    <col min="8453" max="8453" width="12.7109375" bestFit="1" customWidth="1"/>
    <col min="8454" max="8454" width="12.140625" bestFit="1" customWidth="1"/>
    <col min="8455" max="8455" width="12.42578125" bestFit="1" customWidth="1"/>
    <col min="8456" max="8456" width="12.7109375" bestFit="1" customWidth="1"/>
    <col min="8457" max="8457" width="11.28515625" bestFit="1" customWidth="1"/>
    <col min="8458" max="8458" width="12.42578125" bestFit="1" customWidth="1"/>
    <col min="8459" max="8460" width="12.140625" bestFit="1" customWidth="1"/>
    <col min="8461" max="8462" width="12.42578125" bestFit="1" customWidth="1"/>
    <col min="8463" max="8463" width="13.5703125" bestFit="1" customWidth="1"/>
    <col min="8705" max="8705" width="11.42578125" customWidth="1"/>
    <col min="8706" max="8706" width="57" bestFit="1" customWidth="1"/>
    <col min="8707" max="8707" width="11.7109375" bestFit="1" customWidth="1"/>
    <col min="8708" max="8708" width="11.85546875" bestFit="1" customWidth="1"/>
    <col min="8709" max="8709" width="12.7109375" bestFit="1" customWidth="1"/>
    <col min="8710" max="8710" width="12.140625" bestFit="1" customWidth="1"/>
    <col min="8711" max="8711" width="12.42578125" bestFit="1" customWidth="1"/>
    <col min="8712" max="8712" width="12.7109375" bestFit="1" customWidth="1"/>
    <col min="8713" max="8713" width="11.28515625" bestFit="1" customWidth="1"/>
    <col min="8714" max="8714" width="12.42578125" bestFit="1" customWidth="1"/>
    <col min="8715" max="8716" width="12.140625" bestFit="1" customWidth="1"/>
    <col min="8717" max="8718" width="12.42578125" bestFit="1" customWidth="1"/>
    <col min="8719" max="8719" width="13.5703125" bestFit="1" customWidth="1"/>
    <col min="8961" max="8961" width="11.42578125" customWidth="1"/>
    <col min="8962" max="8962" width="57" bestFit="1" customWidth="1"/>
    <col min="8963" max="8963" width="11.7109375" bestFit="1" customWidth="1"/>
    <col min="8964" max="8964" width="11.85546875" bestFit="1" customWidth="1"/>
    <col min="8965" max="8965" width="12.7109375" bestFit="1" customWidth="1"/>
    <col min="8966" max="8966" width="12.140625" bestFit="1" customWidth="1"/>
    <col min="8967" max="8967" width="12.42578125" bestFit="1" customWidth="1"/>
    <col min="8968" max="8968" width="12.7109375" bestFit="1" customWidth="1"/>
    <col min="8969" max="8969" width="11.28515625" bestFit="1" customWidth="1"/>
    <col min="8970" max="8970" width="12.42578125" bestFit="1" customWidth="1"/>
    <col min="8971" max="8972" width="12.140625" bestFit="1" customWidth="1"/>
    <col min="8973" max="8974" width="12.42578125" bestFit="1" customWidth="1"/>
    <col min="8975" max="8975" width="13.5703125" bestFit="1" customWidth="1"/>
    <col min="9217" max="9217" width="11.42578125" customWidth="1"/>
    <col min="9218" max="9218" width="57" bestFit="1" customWidth="1"/>
    <col min="9219" max="9219" width="11.7109375" bestFit="1" customWidth="1"/>
    <col min="9220" max="9220" width="11.85546875" bestFit="1" customWidth="1"/>
    <col min="9221" max="9221" width="12.7109375" bestFit="1" customWidth="1"/>
    <col min="9222" max="9222" width="12.140625" bestFit="1" customWidth="1"/>
    <col min="9223" max="9223" width="12.42578125" bestFit="1" customWidth="1"/>
    <col min="9224" max="9224" width="12.7109375" bestFit="1" customWidth="1"/>
    <col min="9225" max="9225" width="11.28515625" bestFit="1" customWidth="1"/>
    <col min="9226" max="9226" width="12.42578125" bestFit="1" customWidth="1"/>
    <col min="9227" max="9228" width="12.140625" bestFit="1" customWidth="1"/>
    <col min="9229" max="9230" width="12.42578125" bestFit="1" customWidth="1"/>
    <col min="9231" max="9231" width="13.5703125" bestFit="1" customWidth="1"/>
    <col min="9473" max="9473" width="11.42578125" customWidth="1"/>
    <col min="9474" max="9474" width="57" bestFit="1" customWidth="1"/>
    <col min="9475" max="9475" width="11.7109375" bestFit="1" customWidth="1"/>
    <col min="9476" max="9476" width="11.85546875" bestFit="1" customWidth="1"/>
    <col min="9477" max="9477" width="12.7109375" bestFit="1" customWidth="1"/>
    <col min="9478" max="9478" width="12.140625" bestFit="1" customWidth="1"/>
    <col min="9479" max="9479" width="12.42578125" bestFit="1" customWidth="1"/>
    <col min="9480" max="9480" width="12.7109375" bestFit="1" customWidth="1"/>
    <col min="9481" max="9481" width="11.28515625" bestFit="1" customWidth="1"/>
    <col min="9482" max="9482" width="12.42578125" bestFit="1" customWidth="1"/>
    <col min="9483" max="9484" width="12.140625" bestFit="1" customWidth="1"/>
    <col min="9485" max="9486" width="12.42578125" bestFit="1" customWidth="1"/>
    <col min="9487" max="9487" width="13.5703125" bestFit="1" customWidth="1"/>
    <col min="9729" max="9729" width="11.42578125" customWidth="1"/>
    <col min="9730" max="9730" width="57" bestFit="1" customWidth="1"/>
    <col min="9731" max="9731" width="11.7109375" bestFit="1" customWidth="1"/>
    <col min="9732" max="9732" width="11.85546875" bestFit="1" customWidth="1"/>
    <col min="9733" max="9733" width="12.7109375" bestFit="1" customWidth="1"/>
    <col min="9734" max="9734" width="12.140625" bestFit="1" customWidth="1"/>
    <col min="9735" max="9735" width="12.42578125" bestFit="1" customWidth="1"/>
    <col min="9736" max="9736" width="12.7109375" bestFit="1" customWidth="1"/>
    <col min="9737" max="9737" width="11.28515625" bestFit="1" customWidth="1"/>
    <col min="9738" max="9738" width="12.42578125" bestFit="1" customWidth="1"/>
    <col min="9739" max="9740" width="12.140625" bestFit="1" customWidth="1"/>
    <col min="9741" max="9742" width="12.42578125" bestFit="1" customWidth="1"/>
    <col min="9743" max="9743" width="13.5703125" bestFit="1" customWidth="1"/>
    <col min="9985" max="9985" width="11.42578125" customWidth="1"/>
    <col min="9986" max="9986" width="57" bestFit="1" customWidth="1"/>
    <col min="9987" max="9987" width="11.7109375" bestFit="1" customWidth="1"/>
    <col min="9988" max="9988" width="11.85546875" bestFit="1" customWidth="1"/>
    <col min="9989" max="9989" width="12.7109375" bestFit="1" customWidth="1"/>
    <col min="9990" max="9990" width="12.140625" bestFit="1" customWidth="1"/>
    <col min="9991" max="9991" width="12.42578125" bestFit="1" customWidth="1"/>
    <col min="9992" max="9992" width="12.7109375" bestFit="1" customWidth="1"/>
    <col min="9993" max="9993" width="11.28515625" bestFit="1" customWidth="1"/>
    <col min="9994" max="9994" width="12.42578125" bestFit="1" customWidth="1"/>
    <col min="9995" max="9996" width="12.140625" bestFit="1" customWidth="1"/>
    <col min="9997" max="9998" width="12.42578125" bestFit="1" customWidth="1"/>
    <col min="9999" max="9999" width="13.5703125" bestFit="1" customWidth="1"/>
    <col min="10241" max="10241" width="11.42578125" customWidth="1"/>
    <col min="10242" max="10242" width="57" bestFit="1" customWidth="1"/>
    <col min="10243" max="10243" width="11.7109375" bestFit="1" customWidth="1"/>
    <col min="10244" max="10244" width="11.85546875" bestFit="1" customWidth="1"/>
    <col min="10245" max="10245" width="12.7109375" bestFit="1" customWidth="1"/>
    <col min="10246" max="10246" width="12.140625" bestFit="1" customWidth="1"/>
    <col min="10247" max="10247" width="12.42578125" bestFit="1" customWidth="1"/>
    <col min="10248" max="10248" width="12.7109375" bestFit="1" customWidth="1"/>
    <col min="10249" max="10249" width="11.28515625" bestFit="1" customWidth="1"/>
    <col min="10250" max="10250" width="12.42578125" bestFit="1" customWidth="1"/>
    <col min="10251" max="10252" width="12.140625" bestFit="1" customWidth="1"/>
    <col min="10253" max="10254" width="12.42578125" bestFit="1" customWidth="1"/>
    <col min="10255" max="10255" width="13.5703125" bestFit="1" customWidth="1"/>
    <col min="10497" max="10497" width="11.42578125" customWidth="1"/>
    <col min="10498" max="10498" width="57" bestFit="1" customWidth="1"/>
    <col min="10499" max="10499" width="11.7109375" bestFit="1" customWidth="1"/>
    <col min="10500" max="10500" width="11.85546875" bestFit="1" customWidth="1"/>
    <col min="10501" max="10501" width="12.7109375" bestFit="1" customWidth="1"/>
    <col min="10502" max="10502" width="12.140625" bestFit="1" customWidth="1"/>
    <col min="10503" max="10503" width="12.42578125" bestFit="1" customWidth="1"/>
    <col min="10504" max="10504" width="12.7109375" bestFit="1" customWidth="1"/>
    <col min="10505" max="10505" width="11.28515625" bestFit="1" customWidth="1"/>
    <col min="10506" max="10506" width="12.42578125" bestFit="1" customWidth="1"/>
    <col min="10507" max="10508" width="12.140625" bestFit="1" customWidth="1"/>
    <col min="10509" max="10510" width="12.42578125" bestFit="1" customWidth="1"/>
    <col min="10511" max="10511" width="13.5703125" bestFit="1" customWidth="1"/>
    <col min="10753" max="10753" width="11.42578125" customWidth="1"/>
    <col min="10754" max="10754" width="57" bestFit="1" customWidth="1"/>
    <col min="10755" max="10755" width="11.7109375" bestFit="1" customWidth="1"/>
    <col min="10756" max="10756" width="11.85546875" bestFit="1" customWidth="1"/>
    <col min="10757" max="10757" width="12.7109375" bestFit="1" customWidth="1"/>
    <col min="10758" max="10758" width="12.140625" bestFit="1" customWidth="1"/>
    <col min="10759" max="10759" width="12.42578125" bestFit="1" customWidth="1"/>
    <col min="10760" max="10760" width="12.7109375" bestFit="1" customWidth="1"/>
    <col min="10761" max="10761" width="11.28515625" bestFit="1" customWidth="1"/>
    <col min="10762" max="10762" width="12.42578125" bestFit="1" customWidth="1"/>
    <col min="10763" max="10764" width="12.140625" bestFit="1" customWidth="1"/>
    <col min="10765" max="10766" width="12.42578125" bestFit="1" customWidth="1"/>
    <col min="10767" max="10767" width="13.5703125" bestFit="1" customWidth="1"/>
    <col min="11009" max="11009" width="11.42578125" customWidth="1"/>
    <col min="11010" max="11010" width="57" bestFit="1" customWidth="1"/>
    <col min="11011" max="11011" width="11.7109375" bestFit="1" customWidth="1"/>
    <col min="11012" max="11012" width="11.85546875" bestFit="1" customWidth="1"/>
    <col min="11013" max="11013" width="12.7109375" bestFit="1" customWidth="1"/>
    <col min="11014" max="11014" width="12.140625" bestFit="1" customWidth="1"/>
    <col min="11015" max="11015" width="12.42578125" bestFit="1" customWidth="1"/>
    <col min="11016" max="11016" width="12.7109375" bestFit="1" customWidth="1"/>
    <col min="11017" max="11017" width="11.28515625" bestFit="1" customWidth="1"/>
    <col min="11018" max="11018" width="12.42578125" bestFit="1" customWidth="1"/>
    <col min="11019" max="11020" width="12.140625" bestFit="1" customWidth="1"/>
    <col min="11021" max="11022" width="12.42578125" bestFit="1" customWidth="1"/>
    <col min="11023" max="11023" width="13.5703125" bestFit="1" customWidth="1"/>
    <col min="11265" max="11265" width="11.42578125" customWidth="1"/>
    <col min="11266" max="11266" width="57" bestFit="1" customWidth="1"/>
    <col min="11267" max="11267" width="11.7109375" bestFit="1" customWidth="1"/>
    <col min="11268" max="11268" width="11.85546875" bestFit="1" customWidth="1"/>
    <col min="11269" max="11269" width="12.7109375" bestFit="1" customWidth="1"/>
    <col min="11270" max="11270" width="12.140625" bestFit="1" customWidth="1"/>
    <col min="11271" max="11271" width="12.42578125" bestFit="1" customWidth="1"/>
    <col min="11272" max="11272" width="12.7109375" bestFit="1" customWidth="1"/>
    <col min="11273" max="11273" width="11.28515625" bestFit="1" customWidth="1"/>
    <col min="11274" max="11274" width="12.42578125" bestFit="1" customWidth="1"/>
    <col min="11275" max="11276" width="12.140625" bestFit="1" customWidth="1"/>
    <col min="11277" max="11278" width="12.42578125" bestFit="1" customWidth="1"/>
    <col min="11279" max="11279" width="13.5703125" bestFit="1" customWidth="1"/>
    <col min="11521" max="11521" width="11.42578125" customWidth="1"/>
    <col min="11522" max="11522" width="57" bestFit="1" customWidth="1"/>
    <col min="11523" max="11523" width="11.7109375" bestFit="1" customWidth="1"/>
    <col min="11524" max="11524" width="11.85546875" bestFit="1" customWidth="1"/>
    <col min="11525" max="11525" width="12.7109375" bestFit="1" customWidth="1"/>
    <col min="11526" max="11526" width="12.140625" bestFit="1" customWidth="1"/>
    <col min="11527" max="11527" width="12.42578125" bestFit="1" customWidth="1"/>
    <col min="11528" max="11528" width="12.7109375" bestFit="1" customWidth="1"/>
    <col min="11529" max="11529" width="11.28515625" bestFit="1" customWidth="1"/>
    <col min="11530" max="11530" width="12.42578125" bestFit="1" customWidth="1"/>
    <col min="11531" max="11532" width="12.140625" bestFit="1" customWidth="1"/>
    <col min="11533" max="11534" width="12.42578125" bestFit="1" customWidth="1"/>
    <col min="11535" max="11535" width="13.5703125" bestFit="1" customWidth="1"/>
    <col min="11777" max="11777" width="11.42578125" customWidth="1"/>
    <col min="11778" max="11778" width="57" bestFit="1" customWidth="1"/>
    <col min="11779" max="11779" width="11.7109375" bestFit="1" customWidth="1"/>
    <col min="11780" max="11780" width="11.85546875" bestFit="1" customWidth="1"/>
    <col min="11781" max="11781" width="12.7109375" bestFit="1" customWidth="1"/>
    <col min="11782" max="11782" width="12.140625" bestFit="1" customWidth="1"/>
    <col min="11783" max="11783" width="12.42578125" bestFit="1" customWidth="1"/>
    <col min="11784" max="11784" width="12.7109375" bestFit="1" customWidth="1"/>
    <col min="11785" max="11785" width="11.28515625" bestFit="1" customWidth="1"/>
    <col min="11786" max="11786" width="12.42578125" bestFit="1" customWidth="1"/>
    <col min="11787" max="11788" width="12.140625" bestFit="1" customWidth="1"/>
    <col min="11789" max="11790" width="12.42578125" bestFit="1" customWidth="1"/>
    <col min="11791" max="11791" width="13.5703125" bestFit="1" customWidth="1"/>
    <col min="12033" max="12033" width="11.42578125" customWidth="1"/>
    <col min="12034" max="12034" width="57" bestFit="1" customWidth="1"/>
    <col min="12035" max="12035" width="11.7109375" bestFit="1" customWidth="1"/>
    <col min="12036" max="12036" width="11.85546875" bestFit="1" customWidth="1"/>
    <col min="12037" max="12037" width="12.7109375" bestFit="1" customWidth="1"/>
    <col min="12038" max="12038" width="12.140625" bestFit="1" customWidth="1"/>
    <col min="12039" max="12039" width="12.42578125" bestFit="1" customWidth="1"/>
    <col min="12040" max="12040" width="12.7109375" bestFit="1" customWidth="1"/>
    <col min="12041" max="12041" width="11.28515625" bestFit="1" customWidth="1"/>
    <col min="12042" max="12042" width="12.42578125" bestFit="1" customWidth="1"/>
    <col min="12043" max="12044" width="12.140625" bestFit="1" customWidth="1"/>
    <col min="12045" max="12046" width="12.42578125" bestFit="1" customWidth="1"/>
    <col min="12047" max="12047" width="13.5703125" bestFit="1" customWidth="1"/>
    <col min="12289" max="12289" width="11.42578125" customWidth="1"/>
    <col min="12290" max="12290" width="57" bestFit="1" customWidth="1"/>
    <col min="12291" max="12291" width="11.7109375" bestFit="1" customWidth="1"/>
    <col min="12292" max="12292" width="11.85546875" bestFit="1" customWidth="1"/>
    <col min="12293" max="12293" width="12.7109375" bestFit="1" customWidth="1"/>
    <col min="12294" max="12294" width="12.140625" bestFit="1" customWidth="1"/>
    <col min="12295" max="12295" width="12.42578125" bestFit="1" customWidth="1"/>
    <col min="12296" max="12296" width="12.7109375" bestFit="1" customWidth="1"/>
    <col min="12297" max="12297" width="11.28515625" bestFit="1" customWidth="1"/>
    <col min="12298" max="12298" width="12.42578125" bestFit="1" customWidth="1"/>
    <col min="12299" max="12300" width="12.140625" bestFit="1" customWidth="1"/>
    <col min="12301" max="12302" width="12.42578125" bestFit="1" customWidth="1"/>
    <col min="12303" max="12303" width="13.5703125" bestFit="1" customWidth="1"/>
    <col min="12545" max="12545" width="11.42578125" customWidth="1"/>
    <col min="12546" max="12546" width="57" bestFit="1" customWidth="1"/>
    <col min="12547" max="12547" width="11.7109375" bestFit="1" customWidth="1"/>
    <col min="12548" max="12548" width="11.85546875" bestFit="1" customWidth="1"/>
    <col min="12549" max="12549" width="12.7109375" bestFit="1" customWidth="1"/>
    <col min="12550" max="12550" width="12.140625" bestFit="1" customWidth="1"/>
    <col min="12551" max="12551" width="12.42578125" bestFit="1" customWidth="1"/>
    <col min="12552" max="12552" width="12.7109375" bestFit="1" customWidth="1"/>
    <col min="12553" max="12553" width="11.28515625" bestFit="1" customWidth="1"/>
    <col min="12554" max="12554" width="12.42578125" bestFit="1" customWidth="1"/>
    <col min="12555" max="12556" width="12.140625" bestFit="1" customWidth="1"/>
    <col min="12557" max="12558" width="12.42578125" bestFit="1" customWidth="1"/>
    <col min="12559" max="12559" width="13.5703125" bestFit="1" customWidth="1"/>
    <col min="12801" max="12801" width="11.42578125" customWidth="1"/>
    <col min="12802" max="12802" width="57" bestFit="1" customWidth="1"/>
    <col min="12803" max="12803" width="11.7109375" bestFit="1" customWidth="1"/>
    <col min="12804" max="12804" width="11.85546875" bestFit="1" customWidth="1"/>
    <col min="12805" max="12805" width="12.7109375" bestFit="1" customWidth="1"/>
    <col min="12806" max="12806" width="12.140625" bestFit="1" customWidth="1"/>
    <col min="12807" max="12807" width="12.42578125" bestFit="1" customWidth="1"/>
    <col min="12808" max="12808" width="12.7109375" bestFit="1" customWidth="1"/>
    <col min="12809" max="12809" width="11.28515625" bestFit="1" customWidth="1"/>
    <col min="12810" max="12810" width="12.42578125" bestFit="1" customWidth="1"/>
    <col min="12811" max="12812" width="12.140625" bestFit="1" customWidth="1"/>
    <col min="12813" max="12814" width="12.42578125" bestFit="1" customWidth="1"/>
    <col min="12815" max="12815" width="13.5703125" bestFit="1" customWidth="1"/>
    <col min="13057" max="13057" width="11.42578125" customWidth="1"/>
    <col min="13058" max="13058" width="57" bestFit="1" customWidth="1"/>
    <col min="13059" max="13059" width="11.7109375" bestFit="1" customWidth="1"/>
    <col min="13060" max="13060" width="11.85546875" bestFit="1" customWidth="1"/>
    <col min="13061" max="13061" width="12.7109375" bestFit="1" customWidth="1"/>
    <col min="13062" max="13062" width="12.140625" bestFit="1" customWidth="1"/>
    <col min="13063" max="13063" width="12.42578125" bestFit="1" customWidth="1"/>
    <col min="13064" max="13064" width="12.7109375" bestFit="1" customWidth="1"/>
    <col min="13065" max="13065" width="11.28515625" bestFit="1" customWidth="1"/>
    <col min="13066" max="13066" width="12.42578125" bestFit="1" customWidth="1"/>
    <col min="13067" max="13068" width="12.140625" bestFit="1" customWidth="1"/>
    <col min="13069" max="13070" width="12.42578125" bestFit="1" customWidth="1"/>
    <col min="13071" max="13071" width="13.5703125" bestFit="1" customWidth="1"/>
    <col min="13313" max="13313" width="11.42578125" customWidth="1"/>
    <col min="13314" max="13314" width="57" bestFit="1" customWidth="1"/>
    <col min="13315" max="13315" width="11.7109375" bestFit="1" customWidth="1"/>
    <col min="13316" max="13316" width="11.85546875" bestFit="1" customWidth="1"/>
    <col min="13317" max="13317" width="12.7109375" bestFit="1" customWidth="1"/>
    <col min="13318" max="13318" width="12.140625" bestFit="1" customWidth="1"/>
    <col min="13319" max="13319" width="12.42578125" bestFit="1" customWidth="1"/>
    <col min="13320" max="13320" width="12.7109375" bestFit="1" customWidth="1"/>
    <col min="13321" max="13321" width="11.28515625" bestFit="1" customWidth="1"/>
    <col min="13322" max="13322" width="12.42578125" bestFit="1" customWidth="1"/>
    <col min="13323" max="13324" width="12.140625" bestFit="1" customWidth="1"/>
    <col min="13325" max="13326" width="12.42578125" bestFit="1" customWidth="1"/>
    <col min="13327" max="13327" width="13.5703125" bestFit="1" customWidth="1"/>
    <col min="13569" max="13569" width="11.42578125" customWidth="1"/>
    <col min="13570" max="13570" width="57" bestFit="1" customWidth="1"/>
    <col min="13571" max="13571" width="11.7109375" bestFit="1" customWidth="1"/>
    <col min="13572" max="13572" width="11.85546875" bestFit="1" customWidth="1"/>
    <col min="13573" max="13573" width="12.7109375" bestFit="1" customWidth="1"/>
    <col min="13574" max="13574" width="12.140625" bestFit="1" customWidth="1"/>
    <col min="13575" max="13575" width="12.42578125" bestFit="1" customWidth="1"/>
    <col min="13576" max="13576" width="12.7109375" bestFit="1" customWidth="1"/>
    <col min="13577" max="13577" width="11.28515625" bestFit="1" customWidth="1"/>
    <col min="13578" max="13578" width="12.42578125" bestFit="1" customWidth="1"/>
    <col min="13579" max="13580" width="12.140625" bestFit="1" customWidth="1"/>
    <col min="13581" max="13582" width="12.42578125" bestFit="1" customWidth="1"/>
    <col min="13583" max="13583" width="13.5703125" bestFit="1" customWidth="1"/>
    <col min="13825" max="13825" width="11.42578125" customWidth="1"/>
    <col min="13826" max="13826" width="57" bestFit="1" customWidth="1"/>
    <col min="13827" max="13827" width="11.7109375" bestFit="1" customWidth="1"/>
    <col min="13828" max="13828" width="11.85546875" bestFit="1" customWidth="1"/>
    <col min="13829" max="13829" width="12.7109375" bestFit="1" customWidth="1"/>
    <col min="13830" max="13830" width="12.140625" bestFit="1" customWidth="1"/>
    <col min="13831" max="13831" width="12.42578125" bestFit="1" customWidth="1"/>
    <col min="13832" max="13832" width="12.7109375" bestFit="1" customWidth="1"/>
    <col min="13833" max="13833" width="11.28515625" bestFit="1" customWidth="1"/>
    <col min="13834" max="13834" width="12.42578125" bestFit="1" customWidth="1"/>
    <col min="13835" max="13836" width="12.140625" bestFit="1" customWidth="1"/>
    <col min="13837" max="13838" width="12.42578125" bestFit="1" customWidth="1"/>
    <col min="13839" max="13839" width="13.5703125" bestFit="1" customWidth="1"/>
    <col min="14081" max="14081" width="11.42578125" customWidth="1"/>
    <col min="14082" max="14082" width="57" bestFit="1" customWidth="1"/>
    <col min="14083" max="14083" width="11.7109375" bestFit="1" customWidth="1"/>
    <col min="14084" max="14084" width="11.85546875" bestFit="1" customWidth="1"/>
    <col min="14085" max="14085" width="12.7109375" bestFit="1" customWidth="1"/>
    <col min="14086" max="14086" width="12.140625" bestFit="1" customWidth="1"/>
    <col min="14087" max="14087" width="12.42578125" bestFit="1" customWidth="1"/>
    <col min="14088" max="14088" width="12.7109375" bestFit="1" customWidth="1"/>
    <col min="14089" max="14089" width="11.28515625" bestFit="1" customWidth="1"/>
    <col min="14090" max="14090" width="12.42578125" bestFit="1" customWidth="1"/>
    <col min="14091" max="14092" width="12.140625" bestFit="1" customWidth="1"/>
    <col min="14093" max="14094" width="12.42578125" bestFit="1" customWidth="1"/>
    <col min="14095" max="14095" width="13.5703125" bestFit="1" customWidth="1"/>
    <col min="14337" max="14337" width="11.42578125" customWidth="1"/>
    <col min="14338" max="14338" width="57" bestFit="1" customWidth="1"/>
    <col min="14339" max="14339" width="11.7109375" bestFit="1" customWidth="1"/>
    <col min="14340" max="14340" width="11.85546875" bestFit="1" customWidth="1"/>
    <col min="14341" max="14341" width="12.7109375" bestFit="1" customWidth="1"/>
    <col min="14342" max="14342" width="12.140625" bestFit="1" customWidth="1"/>
    <col min="14343" max="14343" width="12.42578125" bestFit="1" customWidth="1"/>
    <col min="14344" max="14344" width="12.7109375" bestFit="1" customWidth="1"/>
    <col min="14345" max="14345" width="11.28515625" bestFit="1" customWidth="1"/>
    <col min="14346" max="14346" width="12.42578125" bestFit="1" customWidth="1"/>
    <col min="14347" max="14348" width="12.140625" bestFit="1" customWidth="1"/>
    <col min="14349" max="14350" width="12.42578125" bestFit="1" customWidth="1"/>
    <col min="14351" max="14351" width="13.5703125" bestFit="1" customWidth="1"/>
    <col min="14593" max="14593" width="11.42578125" customWidth="1"/>
    <col min="14594" max="14594" width="57" bestFit="1" customWidth="1"/>
    <col min="14595" max="14595" width="11.7109375" bestFit="1" customWidth="1"/>
    <col min="14596" max="14596" width="11.85546875" bestFit="1" customWidth="1"/>
    <col min="14597" max="14597" width="12.7109375" bestFit="1" customWidth="1"/>
    <col min="14598" max="14598" width="12.140625" bestFit="1" customWidth="1"/>
    <col min="14599" max="14599" width="12.42578125" bestFit="1" customWidth="1"/>
    <col min="14600" max="14600" width="12.7109375" bestFit="1" customWidth="1"/>
    <col min="14601" max="14601" width="11.28515625" bestFit="1" customWidth="1"/>
    <col min="14602" max="14602" width="12.42578125" bestFit="1" customWidth="1"/>
    <col min="14603" max="14604" width="12.140625" bestFit="1" customWidth="1"/>
    <col min="14605" max="14606" width="12.42578125" bestFit="1" customWidth="1"/>
    <col min="14607" max="14607" width="13.5703125" bestFit="1" customWidth="1"/>
    <col min="14849" max="14849" width="11.42578125" customWidth="1"/>
    <col min="14850" max="14850" width="57" bestFit="1" customWidth="1"/>
    <col min="14851" max="14851" width="11.7109375" bestFit="1" customWidth="1"/>
    <col min="14852" max="14852" width="11.85546875" bestFit="1" customWidth="1"/>
    <col min="14853" max="14853" width="12.7109375" bestFit="1" customWidth="1"/>
    <col min="14854" max="14854" width="12.140625" bestFit="1" customWidth="1"/>
    <col min="14855" max="14855" width="12.42578125" bestFit="1" customWidth="1"/>
    <col min="14856" max="14856" width="12.7109375" bestFit="1" customWidth="1"/>
    <col min="14857" max="14857" width="11.28515625" bestFit="1" customWidth="1"/>
    <col min="14858" max="14858" width="12.42578125" bestFit="1" customWidth="1"/>
    <col min="14859" max="14860" width="12.140625" bestFit="1" customWidth="1"/>
    <col min="14861" max="14862" width="12.42578125" bestFit="1" customWidth="1"/>
    <col min="14863" max="14863" width="13.5703125" bestFit="1" customWidth="1"/>
    <col min="15105" max="15105" width="11.42578125" customWidth="1"/>
    <col min="15106" max="15106" width="57" bestFit="1" customWidth="1"/>
    <col min="15107" max="15107" width="11.7109375" bestFit="1" customWidth="1"/>
    <col min="15108" max="15108" width="11.85546875" bestFit="1" customWidth="1"/>
    <col min="15109" max="15109" width="12.7109375" bestFit="1" customWidth="1"/>
    <col min="15110" max="15110" width="12.140625" bestFit="1" customWidth="1"/>
    <col min="15111" max="15111" width="12.42578125" bestFit="1" customWidth="1"/>
    <col min="15112" max="15112" width="12.7109375" bestFit="1" customWidth="1"/>
    <col min="15113" max="15113" width="11.28515625" bestFit="1" customWidth="1"/>
    <col min="15114" max="15114" width="12.42578125" bestFit="1" customWidth="1"/>
    <col min="15115" max="15116" width="12.140625" bestFit="1" customWidth="1"/>
    <col min="15117" max="15118" width="12.42578125" bestFit="1" customWidth="1"/>
    <col min="15119" max="15119" width="13.5703125" bestFit="1" customWidth="1"/>
    <col min="15361" max="15361" width="11.42578125" customWidth="1"/>
    <col min="15362" max="15362" width="57" bestFit="1" customWidth="1"/>
    <col min="15363" max="15363" width="11.7109375" bestFit="1" customWidth="1"/>
    <col min="15364" max="15364" width="11.85546875" bestFit="1" customWidth="1"/>
    <col min="15365" max="15365" width="12.7109375" bestFit="1" customWidth="1"/>
    <col min="15366" max="15366" width="12.140625" bestFit="1" customWidth="1"/>
    <col min="15367" max="15367" width="12.42578125" bestFit="1" customWidth="1"/>
    <col min="15368" max="15368" width="12.7109375" bestFit="1" customWidth="1"/>
    <col min="15369" max="15369" width="11.28515625" bestFit="1" customWidth="1"/>
    <col min="15370" max="15370" width="12.42578125" bestFit="1" customWidth="1"/>
    <col min="15371" max="15372" width="12.140625" bestFit="1" customWidth="1"/>
    <col min="15373" max="15374" width="12.42578125" bestFit="1" customWidth="1"/>
    <col min="15375" max="15375" width="13.5703125" bestFit="1" customWidth="1"/>
    <col min="15617" max="15617" width="11.42578125" customWidth="1"/>
    <col min="15618" max="15618" width="57" bestFit="1" customWidth="1"/>
    <col min="15619" max="15619" width="11.7109375" bestFit="1" customWidth="1"/>
    <col min="15620" max="15620" width="11.85546875" bestFit="1" customWidth="1"/>
    <col min="15621" max="15621" width="12.7109375" bestFit="1" customWidth="1"/>
    <col min="15622" max="15622" width="12.140625" bestFit="1" customWidth="1"/>
    <col min="15623" max="15623" width="12.42578125" bestFit="1" customWidth="1"/>
    <col min="15624" max="15624" width="12.7109375" bestFit="1" customWidth="1"/>
    <col min="15625" max="15625" width="11.28515625" bestFit="1" customWidth="1"/>
    <col min="15626" max="15626" width="12.42578125" bestFit="1" customWidth="1"/>
    <col min="15627" max="15628" width="12.140625" bestFit="1" customWidth="1"/>
    <col min="15629" max="15630" width="12.42578125" bestFit="1" customWidth="1"/>
    <col min="15631" max="15631" width="13.5703125" bestFit="1" customWidth="1"/>
    <col min="15873" max="15873" width="11.42578125" customWidth="1"/>
    <col min="15874" max="15874" width="57" bestFit="1" customWidth="1"/>
    <col min="15875" max="15875" width="11.7109375" bestFit="1" customWidth="1"/>
    <col min="15876" max="15876" width="11.85546875" bestFit="1" customWidth="1"/>
    <col min="15877" max="15877" width="12.7109375" bestFit="1" customWidth="1"/>
    <col min="15878" max="15878" width="12.140625" bestFit="1" customWidth="1"/>
    <col min="15879" max="15879" width="12.42578125" bestFit="1" customWidth="1"/>
    <col min="15880" max="15880" width="12.7109375" bestFit="1" customWidth="1"/>
    <col min="15881" max="15881" width="11.28515625" bestFit="1" customWidth="1"/>
    <col min="15882" max="15882" width="12.42578125" bestFit="1" customWidth="1"/>
    <col min="15883" max="15884" width="12.140625" bestFit="1" customWidth="1"/>
    <col min="15885" max="15886" width="12.42578125" bestFit="1" customWidth="1"/>
    <col min="15887" max="15887" width="13.5703125" bestFit="1" customWidth="1"/>
    <col min="16129" max="16129" width="11.42578125" customWidth="1"/>
    <col min="16130" max="16130" width="57" bestFit="1" customWidth="1"/>
    <col min="16131" max="16131" width="11.7109375" bestFit="1" customWidth="1"/>
    <col min="16132" max="16132" width="11.85546875" bestFit="1" customWidth="1"/>
    <col min="16133" max="16133" width="12.7109375" bestFit="1" customWidth="1"/>
    <col min="16134" max="16134" width="12.140625" bestFit="1" customWidth="1"/>
    <col min="16135" max="16135" width="12.42578125" bestFit="1" customWidth="1"/>
    <col min="16136" max="16136" width="12.7109375" bestFit="1" customWidth="1"/>
    <col min="16137" max="16137" width="11.28515625" bestFit="1" customWidth="1"/>
    <col min="16138" max="16138" width="12.42578125" bestFit="1" customWidth="1"/>
    <col min="16139" max="16140" width="12.140625" bestFit="1" customWidth="1"/>
    <col min="16141" max="16142" width="12.42578125" bestFit="1" customWidth="1"/>
    <col min="16143" max="16143" width="13.5703125" bestFit="1" customWidth="1"/>
  </cols>
  <sheetData>
    <row r="2" spans="1:15" ht="19.5" x14ac:dyDescent="0.3">
      <c r="A2" s="4" t="s">
        <v>1238</v>
      </c>
    </row>
    <row r="3" spans="1:15" ht="18.75" customHeight="1" thickBot="1" x14ac:dyDescent="0.25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67"/>
    </row>
    <row r="4" spans="1:15" ht="42.75" customHeight="1" thickTop="1" thickBot="1" x14ac:dyDescent="0.25">
      <c r="A4" s="59" t="s">
        <v>0</v>
      </c>
      <c r="B4" s="53" t="s">
        <v>1</v>
      </c>
      <c r="C4" s="54">
        <v>43831</v>
      </c>
      <c r="D4" s="54">
        <v>43862</v>
      </c>
      <c r="E4" s="54">
        <v>43891</v>
      </c>
      <c r="F4" s="54">
        <v>43922</v>
      </c>
      <c r="G4" s="54">
        <v>43952</v>
      </c>
      <c r="H4" s="54">
        <v>43983</v>
      </c>
      <c r="I4" s="54">
        <v>44013</v>
      </c>
      <c r="J4" s="54">
        <v>44044</v>
      </c>
      <c r="K4" s="54">
        <v>44075</v>
      </c>
      <c r="L4" s="54">
        <v>44105</v>
      </c>
      <c r="M4" s="54">
        <v>44136</v>
      </c>
      <c r="N4" s="54">
        <v>44166</v>
      </c>
      <c r="O4" s="68" t="s">
        <v>804</v>
      </c>
    </row>
    <row r="5" spans="1:15" ht="13.5" thickTop="1" x14ac:dyDescent="0.2">
      <c r="A5" s="60"/>
      <c r="B5" s="61"/>
      <c r="C5" s="62"/>
      <c r="D5" s="62"/>
      <c r="E5" s="62"/>
      <c r="F5" s="62"/>
      <c r="G5" s="62"/>
      <c r="H5" s="62"/>
      <c r="I5" s="62"/>
      <c r="J5" s="62"/>
      <c r="K5" s="62"/>
      <c r="L5" s="62"/>
      <c r="M5" s="63"/>
      <c r="N5" s="63"/>
      <c r="O5" s="64"/>
    </row>
    <row r="6" spans="1:15" x14ac:dyDescent="0.2">
      <c r="A6" s="19"/>
      <c r="B6" s="20"/>
      <c r="C6" s="17"/>
      <c r="D6" s="17"/>
      <c r="E6" s="17"/>
      <c r="F6" s="17"/>
      <c r="G6" s="17"/>
      <c r="H6" s="17"/>
      <c r="I6" s="17"/>
      <c r="J6" s="17"/>
      <c r="K6" s="17"/>
      <c r="L6" s="17"/>
      <c r="M6" s="48"/>
      <c r="N6" s="48"/>
      <c r="O6" s="43">
        <f>SUM(O7:O22)</f>
        <v>-711376.48</v>
      </c>
    </row>
    <row r="7" spans="1:15" x14ac:dyDescent="0.2">
      <c r="A7" s="19">
        <v>115075</v>
      </c>
      <c r="B7" s="20" t="s">
        <v>2</v>
      </c>
      <c r="C7" s="17"/>
      <c r="D7" s="17"/>
      <c r="E7" s="17"/>
      <c r="F7" s="17"/>
      <c r="G7" s="17">
        <f>SUM(G8:G33)</f>
        <v>6549.8399999999883</v>
      </c>
      <c r="H7" s="17"/>
      <c r="I7" s="17"/>
      <c r="J7" s="17"/>
      <c r="K7" s="17"/>
      <c r="L7" s="17"/>
      <c r="M7" s="48"/>
      <c r="N7" s="48"/>
      <c r="O7" s="43">
        <f t="shared" ref="O7:O85" si="0">SUM(C7:N7)</f>
        <v>6549.8399999999883</v>
      </c>
    </row>
    <row r="8" spans="1:15" x14ac:dyDescent="0.2">
      <c r="A8" s="19">
        <v>116085</v>
      </c>
      <c r="B8" s="20" t="s">
        <v>3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48"/>
      <c r="N8" s="48"/>
      <c r="O8" s="43">
        <f t="shared" si="0"/>
        <v>0</v>
      </c>
    </row>
    <row r="9" spans="1:15" x14ac:dyDescent="0.2">
      <c r="A9" s="19">
        <v>116090</v>
      </c>
      <c r="B9" s="20" t="s">
        <v>4</v>
      </c>
      <c r="C9" s="17"/>
      <c r="D9" s="17"/>
      <c r="E9" s="17"/>
      <c r="F9" s="17"/>
      <c r="G9" s="17">
        <v>-393083.34</v>
      </c>
      <c r="H9" s="17"/>
      <c r="I9" s="17"/>
      <c r="J9" s="17"/>
      <c r="K9" s="17"/>
      <c r="L9" s="17"/>
      <c r="M9" s="48"/>
      <c r="N9" s="48"/>
      <c r="O9" s="43">
        <f t="shared" si="0"/>
        <v>-393083.34</v>
      </c>
    </row>
    <row r="10" spans="1:15" x14ac:dyDescent="0.2">
      <c r="A10" s="19">
        <v>116095</v>
      </c>
      <c r="B10" s="20" t="s">
        <v>5</v>
      </c>
      <c r="C10" s="17"/>
      <c r="D10" s="17"/>
      <c r="E10" s="17"/>
      <c r="F10" s="17"/>
      <c r="G10" s="17">
        <v>393083.34</v>
      </c>
      <c r="H10" s="17"/>
      <c r="I10" s="17"/>
      <c r="J10" s="17"/>
      <c r="K10" s="17"/>
      <c r="L10" s="17"/>
      <c r="M10" s="48"/>
      <c r="N10" s="48"/>
      <c r="O10" s="43">
        <f t="shared" si="0"/>
        <v>393083.34</v>
      </c>
    </row>
    <row r="11" spans="1:15" x14ac:dyDescent="0.2">
      <c r="A11" s="19">
        <v>116097</v>
      </c>
      <c r="B11" s="20" t="s">
        <v>6</v>
      </c>
      <c r="C11" s="17">
        <v>-7889.44</v>
      </c>
      <c r="D11" s="17"/>
      <c r="E11" s="17"/>
      <c r="F11" s="17">
        <v>145122.12</v>
      </c>
      <c r="G11" s="17">
        <v>3552.29</v>
      </c>
      <c r="H11" s="17"/>
      <c r="I11" s="17"/>
      <c r="J11" s="17"/>
      <c r="K11" s="17"/>
      <c r="L11" s="17">
        <v>2502.5</v>
      </c>
      <c r="M11" s="49">
        <v>234672.31</v>
      </c>
      <c r="N11" s="48">
        <v>3659.12</v>
      </c>
      <c r="O11" s="43">
        <f>SUM(C11:N11)*-1</f>
        <v>-381618.9</v>
      </c>
    </row>
    <row r="12" spans="1:15" x14ac:dyDescent="0.2">
      <c r="A12" s="19">
        <v>117095</v>
      </c>
      <c r="B12" s="20" t="s">
        <v>7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48"/>
      <c r="N12" s="48"/>
      <c r="O12" s="43">
        <f t="shared" si="0"/>
        <v>0</v>
      </c>
    </row>
    <row r="13" spans="1:15" ht="12" customHeight="1" x14ac:dyDescent="0.2">
      <c r="A13" s="19">
        <v>118110</v>
      </c>
      <c r="B13" s="20" t="s">
        <v>8</v>
      </c>
      <c r="C13" s="17"/>
      <c r="D13" s="17"/>
      <c r="E13" s="17"/>
      <c r="F13" s="17"/>
      <c r="G13" s="17">
        <v>-68454.789999999994</v>
      </c>
      <c r="H13" s="17"/>
      <c r="I13" s="17"/>
      <c r="J13" s="17"/>
      <c r="K13" s="17"/>
      <c r="L13" s="17"/>
      <c r="M13" s="48"/>
      <c r="N13" s="48"/>
      <c r="O13" s="43">
        <f t="shared" si="0"/>
        <v>-68454.789999999994</v>
      </c>
    </row>
    <row r="14" spans="1:15" x14ac:dyDescent="0.2">
      <c r="A14" s="19">
        <v>118115</v>
      </c>
      <c r="B14" s="20" t="s">
        <v>9</v>
      </c>
      <c r="C14" s="17"/>
      <c r="D14" s="17"/>
      <c r="E14" s="17"/>
      <c r="F14" s="17"/>
      <c r="G14" s="17">
        <v>68454.789999999994</v>
      </c>
      <c r="H14" s="17"/>
      <c r="I14" s="17"/>
      <c r="J14" s="17"/>
      <c r="K14" s="17"/>
      <c r="L14" s="17"/>
      <c r="M14" s="48"/>
      <c r="N14" s="48"/>
      <c r="O14" s="43">
        <f t="shared" si="0"/>
        <v>68454.789999999994</v>
      </c>
    </row>
    <row r="15" spans="1:15" x14ac:dyDescent="0.2">
      <c r="A15" s="19">
        <v>118120</v>
      </c>
      <c r="B15" s="20" t="s">
        <v>10</v>
      </c>
      <c r="C15" s="17">
        <v>-816.82</v>
      </c>
      <c r="D15" s="17"/>
      <c r="E15" s="17"/>
      <c r="F15" s="17">
        <v>57641.55</v>
      </c>
      <c r="G15" s="17">
        <v>60.51</v>
      </c>
      <c r="H15" s="17"/>
      <c r="I15" s="17"/>
      <c r="J15" s="17"/>
      <c r="K15" s="17"/>
      <c r="L15" s="17"/>
      <c r="M15" s="49">
        <v>17856.05</v>
      </c>
      <c r="N15" s="48">
        <v>-0.02</v>
      </c>
      <c r="O15" s="43">
        <f>SUM(C15:N15)*-1</f>
        <v>-74741.27</v>
      </c>
    </row>
    <row r="16" spans="1:15" x14ac:dyDescent="0.2">
      <c r="A16" s="19">
        <v>118135</v>
      </c>
      <c r="B16" s="20" t="s">
        <v>59</v>
      </c>
      <c r="C16" s="17"/>
      <c r="D16" s="17"/>
      <c r="E16" s="17"/>
      <c r="F16" s="17">
        <v>0</v>
      </c>
      <c r="G16" s="17">
        <v>-139595</v>
      </c>
      <c r="H16" s="17"/>
      <c r="I16" s="17"/>
      <c r="J16" s="17"/>
      <c r="K16" s="17"/>
      <c r="L16" s="17"/>
      <c r="M16" s="48"/>
      <c r="N16" s="48"/>
      <c r="O16" s="43">
        <f t="shared" si="0"/>
        <v>-139595</v>
      </c>
    </row>
    <row r="17" spans="1:15" x14ac:dyDescent="0.2">
      <c r="A17" s="19">
        <v>118140</v>
      </c>
      <c r="B17" s="20" t="s">
        <v>12</v>
      </c>
      <c r="C17" s="17"/>
      <c r="D17" s="44"/>
      <c r="E17" s="44"/>
      <c r="F17" s="17">
        <v>0</v>
      </c>
      <c r="G17" s="44"/>
      <c r="H17" s="44"/>
      <c r="I17" s="17"/>
      <c r="J17" s="17"/>
      <c r="K17" s="44"/>
      <c r="L17" s="44"/>
      <c r="M17" s="49"/>
      <c r="N17" s="49"/>
      <c r="O17" s="43">
        <f t="shared" si="0"/>
        <v>0</v>
      </c>
    </row>
    <row r="18" spans="1:15" x14ac:dyDescent="0.2">
      <c r="A18" s="19">
        <v>118150</v>
      </c>
      <c r="B18" s="20" t="s">
        <v>13</v>
      </c>
      <c r="C18" s="17"/>
      <c r="D18" s="44"/>
      <c r="E18" s="44"/>
      <c r="F18" s="17">
        <v>0</v>
      </c>
      <c r="G18" s="17">
        <v>139595</v>
      </c>
      <c r="H18" s="44"/>
      <c r="I18" s="17"/>
      <c r="J18" s="17"/>
      <c r="K18" s="44"/>
      <c r="L18" s="44"/>
      <c r="M18" s="49"/>
      <c r="N18" s="49"/>
      <c r="O18" s="43">
        <f t="shared" si="0"/>
        <v>139595</v>
      </c>
    </row>
    <row r="19" spans="1:15" x14ac:dyDescent="0.2">
      <c r="A19" s="19">
        <v>118155</v>
      </c>
      <c r="B19" s="20" t="s">
        <v>14</v>
      </c>
      <c r="C19" s="17">
        <v>3360.45</v>
      </c>
      <c r="D19" s="17"/>
      <c r="E19" s="17"/>
      <c r="F19" s="17">
        <v>0</v>
      </c>
      <c r="G19" s="17"/>
      <c r="H19" s="17"/>
      <c r="I19" s="17"/>
      <c r="J19" s="17"/>
      <c r="K19" s="44"/>
      <c r="L19" s="44"/>
      <c r="M19" s="49">
        <v>102341.15</v>
      </c>
      <c r="N19" s="49">
        <v>15166.59</v>
      </c>
      <c r="O19" s="43">
        <f>-SUM(C19:N19)</f>
        <v>-120868.18999999999</v>
      </c>
    </row>
    <row r="20" spans="1:15" x14ac:dyDescent="0.2">
      <c r="A20" s="19">
        <v>119155</v>
      </c>
      <c r="B20" s="20" t="s">
        <v>15</v>
      </c>
      <c r="C20" s="17"/>
      <c r="D20" s="44"/>
      <c r="E20" s="44"/>
      <c r="F20" s="17">
        <v>0</v>
      </c>
      <c r="G20" s="17">
        <v>-208636.94</v>
      </c>
      <c r="H20" s="44"/>
      <c r="I20" s="17"/>
      <c r="J20" s="17"/>
      <c r="K20" s="44"/>
      <c r="L20" s="44"/>
      <c r="M20" s="49"/>
      <c r="N20" s="49"/>
      <c r="O20" s="43">
        <f t="shared" si="0"/>
        <v>-208636.94</v>
      </c>
    </row>
    <row r="21" spans="1:15" x14ac:dyDescent="0.2">
      <c r="A21" s="19">
        <v>119160</v>
      </c>
      <c r="B21" s="20" t="s">
        <v>16</v>
      </c>
      <c r="C21" s="17"/>
      <c r="D21" s="44"/>
      <c r="E21" s="44"/>
      <c r="F21" s="17">
        <v>0</v>
      </c>
      <c r="G21" s="17">
        <v>208636.94</v>
      </c>
      <c r="H21" s="44"/>
      <c r="I21" s="17"/>
      <c r="J21" s="17"/>
      <c r="K21" s="44"/>
      <c r="L21" s="44"/>
      <c r="M21" s="49"/>
      <c r="N21" s="49"/>
      <c r="O21" s="43">
        <f t="shared" si="0"/>
        <v>208636.94</v>
      </c>
    </row>
    <row r="22" spans="1:15" x14ac:dyDescent="0.2">
      <c r="A22" s="19">
        <v>119162</v>
      </c>
      <c r="B22" s="20" t="s">
        <v>17</v>
      </c>
      <c r="C22" s="17">
        <v>-5474.19</v>
      </c>
      <c r="D22" s="17"/>
      <c r="E22" s="17"/>
      <c r="F22" s="17">
        <v>26298.73</v>
      </c>
      <c r="G22" s="17">
        <v>2937.04</v>
      </c>
      <c r="H22" s="17"/>
      <c r="I22" s="17"/>
      <c r="J22" s="17"/>
      <c r="K22" s="44"/>
      <c r="L22" s="44"/>
      <c r="M22" s="49">
        <v>115648.32000000001</v>
      </c>
      <c r="N22" s="49">
        <v>1288.06</v>
      </c>
      <c r="O22" s="43">
        <f>SUM(C22:N22)*-1</f>
        <v>-140697.96000000002</v>
      </c>
    </row>
    <row r="23" spans="1:15" x14ac:dyDescent="0.2">
      <c r="A23" s="19">
        <v>120185</v>
      </c>
      <c r="B23" s="20" t="s">
        <v>18</v>
      </c>
      <c r="C23" s="17"/>
      <c r="D23" s="44"/>
      <c r="E23" s="44"/>
      <c r="F23" s="17">
        <v>0</v>
      </c>
      <c r="G23" s="44"/>
      <c r="H23" s="44"/>
      <c r="I23" s="17"/>
      <c r="J23" s="17"/>
      <c r="K23" s="44"/>
      <c r="L23" s="44"/>
      <c r="M23" s="49"/>
      <c r="N23" s="49"/>
      <c r="O23" s="43">
        <f t="shared" ref="O23:O29" si="1">SUM(C23:N23)*-1</f>
        <v>0</v>
      </c>
    </row>
    <row r="24" spans="1:15" x14ac:dyDescent="0.2">
      <c r="A24" s="19">
        <v>122200</v>
      </c>
      <c r="B24" s="20" t="s">
        <v>19</v>
      </c>
      <c r="C24" s="17"/>
      <c r="D24" s="44"/>
      <c r="E24" s="44"/>
      <c r="F24" s="17">
        <v>0</v>
      </c>
      <c r="G24" s="44"/>
      <c r="H24" s="44"/>
      <c r="I24" s="17"/>
      <c r="J24" s="17"/>
      <c r="K24" s="44"/>
      <c r="L24" s="44"/>
      <c r="M24" s="49"/>
      <c r="N24" s="49"/>
      <c r="O24" s="43">
        <f t="shared" si="1"/>
        <v>0</v>
      </c>
    </row>
    <row r="25" spans="1:15" x14ac:dyDescent="0.2">
      <c r="A25" s="19">
        <v>123505</v>
      </c>
      <c r="B25" s="20" t="s">
        <v>20</v>
      </c>
      <c r="C25" s="17"/>
      <c r="D25" s="44"/>
      <c r="E25" s="44"/>
      <c r="F25" s="17">
        <v>0</v>
      </c>
      <c r="G25" s="44"/>
      <c r="H25" s="44"/>
      <c r="I25" s="17"/>
      <c r="J25" s="17"/>
      <c r="K25" s="44"/>
      <c r="L25" s="44"/>
      <c r="M25" s="49"/>
      <c r="N25" s="49"/>
      <c r="O25" s="43">
        <f t="shared" si="1"/>
        <v>0</v>
      </c>
    </row>
    <row r="26" spans="1:15" x14ac:dyDescent="0.2">
      <c r="A26" s="19">
        <v>123510</v>
      </c>
      <c r="B26" s="20" t="s">
        <v>21</v>
      </c>
      <c r="C26" s="17"/>
      <c r="D26" s="44"/>
      <c r="E26" s="44"/>
      <c r="F26" s="17">
        <v>0</v>
      </c>
      <c r="G26" s="44"/>
      <c r="H26" s="44"/>
      <c r="I26" s="17"/>
      <c r="J26" s="17"/>
      <c r="K26" s="44"/>
      <c r="L26" s="44"/>
      <c r="M26" s="49"/>
      <c r="N26" s="49"/>
      <c r="O26" s="43">
        <f t="shared" si="1"/>
        <v>0</v>
      </c>
    </row>
    <row r="27" spans="1:15" x14ac:dyDescent="0.2">
      <c r="A27" s="19">
        <v>123515</v>
      </c>
      <c r="B27" s="20" t="s">
        <v>22</v>
      </c>
      <c r="C27" s="17"/>
      <c r="D27" s="17"/>
      <c r="E27" s="17"/>
      <c r="F27" s="17">
        <v>0</v>
      </c>
      <c r="G27" s="17"/>
      <c r="H27" s="17"/>
      <c r="I27" s="17"/>
      <c r="J27" s="17"/>
      <c r="K27" s="17"/>
      <c r="L27" s="17"/>
      <c r="M27" s="48"/>
      <c r="N27" s="48"/>
      <c r="O27" s="43">
        <f t="shared" si="1"/>
        <v>0</v>
      </c>
    </row>
    <row r="28" spans="1:15" x14ac:dyDescent="0.2">
      <c r="A28" s="19">
        <v>123520</v>
      </c>
      <c r="B28" s="20" t="s">
        <v>23</v>
      </c>
      <c r="C28" s="17"/>
      <c r="D28" s="17"/>
      <c r="E28" s="17"/>
      <c r="F28" s="17">
        <v>0</v>
      </c>
      <c r="G28" s="17"/>
      <c r="H28" s="17"/>
      <c r="I28" s="17"/>
      <c r="J28" s="17"/>
      <c r="K28" s="17"/>
      <c r="L28" s="17"/>
      <c r="M28" s="48"/>
      <c r="N28" s="48"/>
      <c r="O28" s="43">
        <f t="shared" si="1"/>
        <v>0</v>
      </c>
    </row>
    <row r="29" spans="1:15" x14ac:dyDescent="0.2">
      <c r="A29" s="19">
        <v>123525</v>
      </c>
      <c r="B29" s="20" t="s">
        <v>24</v>
      </c>
      <c r="C29" s="17"/>
      <c r="D29" s="17"/>
      <c r="E29" s="17"/>
      <c r="F29" s="17">
        <v>0</v>
      </c>
      <c r="G29" s="17"/>
      <c r="H29" s="17"/>
      <c r="I29" s="17"/>
      <c r="J29" s="17"/>
      <c r="K29" s="17"/>
      <c r="L29" s="17"/>
      <c r="M29" s="48"/>
      <c r="N29" s="48"/>
      <c r="O29" s="43">
        <f t="shared" si="1"/>
        <v>0</v>
      </c>
    </row>
    <row r="30" spans="1:15" x14ac:dyDescent="0.2">
      <c r="A30" s="19">
        <v>123530</v>
      </c>
      <c r="B30" s="20" t="s">
        <v>734</v>
      </c>
      <c r="C30" s="17">
        <v>-1.77</v>
      </c>
      <c r="D30" s="17"/>
      <c r="E30" s="17"/>
      <c r="F30" s="17">
        <v>2486.91</v>
      </c>
      <c r="G30" s="17"/>
      <c r="H30" s="17"/>
      <c r="I30" s="17"/>
      <c r="J30" s="17"/>
      <c r="K30" s="17"/>
      <c r="L30" s="17"/>
      <c r="M30" s="48"/>
      <c r="N30" s="48">
        <v>2.08</v>
      </c>
      <c r="O30" s="43">
        <f>SUM(C30:N30)*-1</f>
        <v>-2487.2199999999998</v>
      </c>
    </row>
    <row r="31" spans="1:15" x14ac:dyDescent="0.2">
      <c r="A31" s="19">
        <v>123535</v>
      </c>
      <c r="B31" s="20" t="s">
        <v>735</v>
      </c>
      <c r="C31" s="17">
        <v>-1.33</v>
      </c>
      <c r="D31" s="17"/>
      <c r="E31" s="17"/>
      <c r="F31" s="17">
        <v>0</v>
      </c>
      <c r="G31" s="17"/>
      <c r="H31" s="17"/>
      <c r="I31" s="17"/>
      <c r="J31" s="17"/>
      <c r="K31" s="17"/>
      <c r="L31" s="17"/>
      <c r="M31" s="48"/>
      <c r="N31" s="48">
        <v>1.58</v>
      </c>
      <c r="O31" s="43">
        <f>SUM(C31:N31)*-1</f>
        <v>-0.25</v>
      </c>
    </row>
    <row r="32" spans="1:15" x14ac:dyDescent="0.2">
      <c r="A32" s="19">
        <v>123540</v>
      </c>
      <c r="B32" s="20" t="s">
        <v>736</v>
      </c>
      <c r="C32" s="17">
        <v>-5.95</v>
      </c>
      <c r="D32" s="17"/>
      <c r="E32" s="17"/>
      <c r="F32" s="17">
        <v>8464.11</v>
      </c>
      <c r="G32" s="17"/>
      <c r="H32" s="17"/>
      <c r="I32" s="17"/>
      <c r="J32" s="17"/>
      <c r="K32" s="17"/>
      <c r="L32" s="17"/>
      <c r="M32" s="48"/>
      <c r="N32" s="48">
        <v>7.01</v>
      </c>
      <c r="O32" s="43">
        <f>SUM(C32:N32)*-1</f>
        <v>-8465.17</v>
      </c>
    </row>
    <row r="33" spans="1:15" x14ac:dyDescent="0.2">
      <c r="A33" s="19">
        <v>123545</v>
      </c>
      <c r="B33" s="20" t="s">
        <v>737</v>
      </c>
      <c r="C33" s="17">
        <v>-1.56</v>
      </c>
      <c r="D33" s="17"/>
      <c r="E33" s="17"/>
      <c r="F33" s="17">
        <v>4774.74</v>
      </c>
      <c r="G33" s="17"/>
      <c r="H33" s="17"/>
      <c r="I33" s="17"/>
      <c r="J33" s="17"/>
      <c r="K33" s="17"/>
      <c r="L33" s="17"/>
      <c r="M33" s="48"/>
      <c r="N33" s="48">
        <v>1.84</v>
      </c>
      <c r="O33" s="43">
        <f>SUM(C33:N33)*-1</f>
        <v>-4775.0199999999995</v>
      </c>
    </row>
    <row r="34" spans="1:15" x14ac:dyDescent="0.2">
      <c r="A34" s="19"/>
      <c r="B34" s="20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48"/>
      <c r="N34" s="48"/>
      <c r="O34" s="43"/>
    </row>
    <row r="35" spans="1:15" x14ac:dyDescent="0.2">
      <c r="A35" s="19">
        <v>124210</v>
      </c>
      <c r="B35" s="20" t="s">
        <v>25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48"/>
      <c r="N35" s="48"/>
      <c r="O35" s="43">
        <f>SUM(O36:O52)</f>
        <v>-1890.6699999999998</v>
      </c>
    </row>
    <row r="36" spans="1:15" x14ac:dyDescent="0.2">
      <c r="A36" s="19">
        <v>124225</v>
      </c>
      <c r="B36" s="20" t="s">
        <v>3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48"/>
      <c r="N36" s="48"/>
      <c r="O36" s="43">
        <f t="shared" si="0"/>
        <v>0</v>
      </c>
    </row>
    <row r="37" spans="1:15" x14ac:dyDescent="0.2">
      <c r="A37" s="19">
        <v>124230</v>
      </c>
      <c r="B37" s="20" t="s">
        <v>4</v>
      </c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48"/>
      <c r="N37" s="48"/>
      <c r="O37" s="43">
        <f t="shared" si="0"/>
        <v>0</v>
      </c>
    </row>
    <row r="38" spans="1:15" x14ac:dyDescent="0.2">
      <c r="A38" s="19">
        <v>124231</v>
      </c>
      <c r="B38" s="20" t="s">
        <v>5</v>
      </c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48"/>
      <c r="N38" s="48"/>
      <c r="O38" s="43">
        <f t="shared" si="0"/>
        <v>0</v>
      </c>
    </row>
    <row r="39" spans="1:15" x14ac:dyDescent="0.2">
      <c r="A39" s="19">
        <v>124232</v>
      </c>
      <c r="B39" s="20" t="s">
        <v>6</v>
      </c>
      <c r="C39" s="17">
        <v>556.91999999999996</v>
      </c>
      <c r="D39" s="17"/>
      <c r="E39" s="17"/>
      <c r="F39" s="17"/>
      <c r="G39" s="17"/>
      <c r="H39" s="17"/>
      <c r="I39" s="17"/>
      <c r="J39" s="17"/>
      <c r="K39" s="17"/>
      <c r="L39" s="17"/>
      <c r="M39" s="48"/>
      <c r="N39" s="48"/>
      <c r="O39" s="43">
        <f>SUM(C39:N39)*-1</f>
        <v>-556.91999999999996</v>
      </c>
    </row>
    <row r="40" spans="1:15" x14ac:dyDescent="0.2">
      <c r="A40" s="19">
        <v>124235</v>
      </c>
      <c r="B40" s="20" t="s">
        <v>8</v>
      </c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48"/>
      <c r="N40" s="48"/>
      <c r="O40" s="43">
        <f t="shared" si="0"/>
        <v>0</v>
      </c>
    </row>
    <row r="41" spans="1:15" x14ac:dyDescent="0.2">
      <c r="A41" s="19">
        <v>124237</v>
      </c>
      <c r="B41" s="20" t="s">
        <v>823</v>
      </c>
      <c r="C41" s="17">
        <v>76.62</v>
      </c>
      <c r="D41" s="17"/>
      <c r="E41" s="17"/>
      <c r="F41" s="17"/>
      <c r="G41" s="17"/>
      <c r="H41" s="17"/>
      <c r="I41" s="17"/>
      <c r="J41" s="17"/>
      <c r="K41" s="17"/>
      <c r="L41" s="17"/>
      <c r="M41" s="48"/>
      <c r="N41" s="48"/>
      <c r="O41" s="43">
        <f>SUM(C41:N41)*-1</f>
        <v>-76.62</v>
      </c>
    </row>
    <row r="42" spans="1:15" x14ac:dyDescent="0.2">
      <c r="A42" s="19">
        <v>124255</v>
      </c>
      <c r="B42" s="20" t="s">
        <v>11</v>
      </c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48"/>
      <c r="N42" s="48"/>
      <c r="O42" s="43">
        <f t="shared" si="0"/>
        <v>0</v>
      </c>
    </row>
    <row r="43" spans="1:15" x14ac:dyDescent="0.2">
      <c r="A43" s="19">
        <v>124256</v>
      </c>
      <c r="B43" s="20" t="s">
        <v>13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48"/>
      <c r="N43" s="48"/>
      <c r="O43" s="43">
        <f t="shared" si="0"/>
        <v>0</v>
      </c>
    </row>
    <row r="44" spans="1:15" x14ac:dyDescent="0.2">
      <c r="A44" s="19">
        <v>124257</v>
      </c>
      <c r="B44" s="20" t="s">
        <v>14</v>
      </c>
      <c r="C44" s="17">
        <v>892.92</v>
      </c>
      <c r="D44" s="17"/>
      <c r="E44" s="17"/>
      <c r="F44" s="17"/>
      <c r="G44" s="17"/>
      <c r="H44" s="17"/>
      <c r="I44" s="17"/>
      <c r="J44" s="17"/>
      <c r="K44" s="17"/>
      <c r="L44" s="17"/>
      <c r="M44" s="48"/>
      <c r="N44" s="48"/>
      <c r="O44" s="43">
        <f>SUM(C44:N44)*-1</f>
        <v>-892.92</v>
      </c>
    </row>
    <row r="45" spans="1:15" x14ac:dyDescent="0.2">
      <c r="A45" s="19">
        <v>124260</v>
      </c>
      <c r="B45" s="20" t="s">
        <v>26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48"/>
      <c r="N45" s="48"/>
      <c r="O45" s="43">
        <f t="shared" si="0"/>
        <v>0</v>
      </c>
    </row>
    <row r="46" spans="1:15" x14ac:dyDescent="0.2">
      <c r="A46" s="19">
        <v>124270</v>
      </c>
      <c r="B46" s="20" t="s">
        <v>15</v>
      </c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48"/>
      <c r="N46" s="48"/>
      <c r="O46" s="43">
        <f t="shared" si="0"/>
        <v>0</v>
      </c>
    </row>
    <row r="47" spans="1:15" x14ac:dyDescent="0.2">
      <c r="A47" s="19">
        <v>124275</v>
      </c>
      <c r="B47" s="20" t="s">
        <v>16</v>
      </c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48"/>
      <c r="N47" s="48"/>
      <c r="O47" s="43">
        <f t="shared" si="0"/>
        <v>0</v>
      </c>
    </row>
    <row r="48" spans="1:15" x14ac:dyDescent="0.2">
      <c r="A48" s="19">
        <v>124276</v>
      </c>
      <c r="B48" s="20" t="s">
        <v>17</v>
      </c>
      <c r="C48" s="17">
        <v>364.12</v>
      </c>
      <c r="D48" s="17"/>
      <c r="E48" s="17"/>
      <c r="F48" s="17"/>
      <c r="G48" s="17"/>
      <c r="H48" s="17"/>
      <c r="I48" s="17"/>
      <c r="J48" s="17"/>
      <c r="K48" s="17"/>
      <c r="L48" s="17"/>
      <c r="M48" s="48"/>
      <c r="N48" s="48"/>
      <c r="O48" s="43">
        <f>SUM(C48:N48)*-1</f>
        <v>-364.12</v>
      </c>
    </row>
    <row r="49" spans="1:15" x14ac:dyDescent="0.2">
      <c r="A49" s="19">
        <v>124300</v>
      </c>
      <c r="B49" s="20" t="s">
        <v>18</v>
      </c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48"/>
      <c r="N49" s="48"/>
      <c r="O49" s="43">
        <f t="shared" si="0"/>
        <v>0</v>
      </c>
    </row>
    <row r="50" spans="1:15" x14ac:dyDescent="0.2">
      <c r="A50" s="19">
        <v>124305</v>
      </c>
      <c r="B50" s="20" t="s">
        <v>41</v>
      </c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48"/>
      <c r="N50" s="48"/>
      <c r="O50" s="43">
        <f t="shared" si="0"/>
        <v>0</v>
      </c>
    </row>
    <row r="51" spans="1:15" x14ac:dyDescent="0.2">
      <c r="A51" s="19">
        <v>124308</v>
      </c>
      <c r="B51" s="20" t="s">
        <v>824</v>
      </c>
      <c r="C51" s="17">
        <v>0.09</v>
      </c>
      <c r="D51" s="17"/>
      <c r="E51" s="17"/>
      <c r="F51" s="17"/>
      <c r="G51" s="17"/>
      <c r="H51" s="17"/>
      <c r="I51" s="17"/>
      <c r="J51" s="17"/>
      <c r="K51" s="17"/>
      <c r="L51" s="17"/>
      <c r="M51" s="48"/>
      <c r="N51" s="48"/>
      <c r="O51" s="43">
        <f>SUM(C51:N51)*-1</f>
        <v>-0.09</v>
      </c>
    </row>
    <row r="52" spans="1:15" x14ac:dyDescent="0.2">
      <c r="A52" s="19">
        <v>124315</v>
      </c>
      <c r="B52" s="20" t="s">
        <v>21</v>
      </c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48"/>
      <c r="N52" s="48"/>
      <c r="O52" s="43">
        <f t="shared" si="0"/>
        <v>0</v>
      </c>
    </row>
    <row r="53" spans="1:15" x14ac:dyDescent="0.2">
      <c r="A53" s="19">
        <v>124318</v>
      </c>
      <c r="B53" s="20" t="s">
        <v>825</v>
      </c>
      <c r="C53" s="17">
        <v>0.06</v>
      </c>
      <c r="D53" s="17"/>
      <c r="E53" s="17"/>
      <c r="F53" s="17"/>
      <c r="G53" s="17"/>
      <c r="H53" s="17"/>
      <c r="I53" s="17"/>
      <c r="J53" s="17"/>
      <c r="K53" s="17"/>
      <c r="L53" s="17"/>
      <c r="M53" s="48"/>
      <c r="N53" s="48"/>
      <c r="O53" s="43">
        <f>SUM(C53:N53)*-1</f>
        <v>-0.06</v>
      </c>
    </row>
    <row r="54" spans="1:15" x14ac:dyDescent="0.2">
      <c r="A54" s="19">
        <v>124320</v>
      </c>
      <c r="B54" s="20" t="s">
        <v>22</v>
      </c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48"/>
      <c r="N54" s="48"/>
      <c r="O54" s="43">
        <f t="shared" si="0"/>
        <v>0</v>
      </c>
    </row>
    <row r="55" spans="1:15" x14ac:dyDescent="0.2">
      <c r="A55" s="19">
        <v>124323</v>
      </c>
      <c r="B55" s="20" t="s">
        <v>826</v>
      </c>
      <c r="C55" s="17">
        <v>0.3</v>
      </c>
      <c r="D55" s="17"/>
      <c r="E55" s="17"/>
      <c r="F55" s="17"/>
      <c r="G55" s="17"/>
      <c r="H55" s="17"/>
      <c r="I55" s="17"/>
      <c r="J55" s="17"/>
      <c r="K55" s="17"/>
      <c r="L55" s="17"/>
      <c r="M55" s="48"/>
      <c r="N55" s="48"/>
      <c r="O55" s="43">
        <f>SUM(C55:N55)*-1</f>
        <v>-0.3</v>
      </c>
    </row>
    <row r="56" spans="1:15" x14ac:dyDescent="0.2">
      <c r="A56" s="19">
        <v>124325</v>
      </c>
      <c r="B56" s="20" t="s">
        <v>23</v>
      </c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48"/>
      <c r="N56" s="48"/>
      <c r="O56" s="43">
        <f t="shared" si="0"/>
        <v>0</v>
      </c>
    </row>
    <row r="57" spans="1:15" x14ac:dyDescent="0.2">
      <c r="A57" s="19">
        <v>124328</v>
      </c>
      <c r="B57" s="20" t="s">
        <v>827</v>
      </c>
      <c r="C57" s="17">
        <v>0.09</v>
      </c>
      <c r="D57" s="17"/>
      <c r="E57" s="17"/>
      <c r="F57" s="17"/>
      <c r="G57" s="17"/>
      <c r="H57" s="17"/>
      <c r="I57" s="17"/>
      <c r="J57" s="17"/>
      <c r="K57" s="17"/>
      <c r="L57" s="17"/>
      <c r="M57" s="48"/>
      <c r="N57" s="48"/>
      <c r="O57" s="43">
        <f>SUM(C57:N57)*-1</f>
        <v>-0.09</v>
      </c>
    </row>
    <row r="58" spans="1:15" x14ac:dyDescent="0.2">
      <c r="A58" s="19">
        <v>124330</v>
      </c>
      <c r="B58" s="20" t="s">
        <v>24</v>
      </c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48"/>
      <c r="N58" s="48"/>
      <c r="O58" s="43">
        <f t="shared" si="0"/>
        <v>0</v>
      </c>
    </row>
    <row r="59" spans="1:15" x14ac:dyDescent="0.2">
      <c r="A59" s="19"/>
      <c r="B59" s="20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48"/>
      <c r="N59" s="48"/>
      <c r="O59" s="43"/>
    </row>
    <row r="60" spans="1:15" x14ac:dyDescent="0.2">
      <c r="A60" s="19"/>
      <c r="B60" s="20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48"/>
      <c r="N60" s="48"/>
      <c r="O60" s="43"/>
    </row>
    <row r="61" spans="1:15" x14ac:dyDescent="0.2">
      <c r="A61" s="19">
        <v>125450</v>
      </c>
      <c r="B61" s="20" t="s">
        <v>27</v>
      </c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48"/>
      <c r="N61" s="48"/>
      <c r="O61" s="43">
        <f>SUM(C61:N61)</f>
        <v>0</v>
      </c>
    </row>
    <row r="62" spans="1:15" x14ac:dyDescent="0.2">
      <c r="A62" s="19">
        <v>125497</v>
      </c>
      <c r="B62" s="20" t="s">
        <v>60</v>
      </c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48"/>
      <c r="N62" s="48"/>
      <c r="O62" s="43">
        <f>SUM(C62:N62)</f>
        <v>0</v>
      </c>
    </row>
    <row r="63" spans="1:15" x14ac:dyDescent="0.2">
      <c r="A63" s="19">
        <v>125515</v>
      </c>
      <c r="B63" s="20" t="s">
        <v>869</v>
      </c>
      <c r="C63" s="17"/>
      <c r="D63" s="17"/>
      <c r="E63" s="17"/>
      <c r="F63" s="17"/>
      <c r="G63" s="17"/>
      <c r="H63" s="17"/>
      <c r="I63" s="17"/>
      <c r="J63" s="17">
        <v>-94236.6</v>
      </c>
      <c r="K63" s="17"/>
      <c r="L63" s="17"/>
      <c r="M63" s="48"/>
      <c r="N63" s="48"/>
      <c r="O63" s="43">
        <f>SUM(C63:N63)</f>
        <v>-94236.6</v>
      </c>
    </row>
    <row r="64" spans="1:15" x14ac:dyDescent="0.2">
      <c r="A64" s="19"/>
      <c r="B64" s="20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48"/>
      <c r="N64" s="48"/>
      <c r="O64" s="43"/>
    </row>
    <row r="65" spans="1:15" x14ac:dyDescent="0.2">
      <c r="A65" s="19">
        <v>135000</v>
      </c>
      <c r="B65" s="20" t="s">
        <v>36</v>
      </c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48"/>
      <c r="N65" s="48"/>
      <c r="O65" s="43">
        <f t="shared" ref="O65:O72" si="2">SUM(C65:N65)</f>
        <v>0</v>
      </c>
    </row>
    <row r="66" spans="1:15" x14ac:dyDescent="0.2">
      <c r="A66" s="19">
        <v>135005</v>
      </c>
      <c r="B66" s="20" t="s">
        <v>37</v>
      </c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48"/>
      <c r="N66" s="48"/>
      <c r="O66" s="43">
        <f t="shared" si="2"/>
        <v>0</v>
      </c>
    </row>
    <row r="67" spans="1:15" x14ac:dyDescent="0.2">
      <c r="A67" s="19">
        <v>135010</v>
      </c>
      <c r="B67" s="20" t="s">
        <v>4</v>
      </c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48"/>
      <c r="N67" s="48"/>
      <c r="O67" s="43">
        <f t="shared" si="2"/>
        <v>0</v>
      </c>
    </row>
    <row r="68" spans="1:15" x14ac:dyDescent="0.2">
      <c r="A68" s="19">
        <v>135015</v>
      </c>
      <c r="B68" s="20" t="s">
        <v>8</v>
      </c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48"/>
      <c r="N68" s="48"/>
      <c r="O68" s="43">
        <f t="shared" si="2"/>
        <v>0</v>
      </c>
    </row>
    <row r="69" spans="1:15" x14ac:dyDescent="0.2">
      <c r="A69" s="19">
        <v>135020</v>
      </c>
      <c r="B69" s="20" t="s">
        <v>38</v>
      </c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48"/>
      <c r="N69" s="48"/>
      <c r="O69" s="43">
        <f t="shared" si="2"/>
        <v>0</v>
      </c>
    </row>
    <row r="70" spans="1:15" x14ac:dyDescent="0.2">
      <c r="A70" s="19">
        <v>135025</v>
      </c>
      <c r="B70" s="20" t="s">
        <v>39</v>
      </c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48"/>
      <c r="N70" s="48"/>
      <c r="O70" s="43">
        <f t="shared" si="2"/>
        <v>0</v>
      </c>
    </row>
    <row r="71" spans="1:15" x14ac:dyDescent="0.2">
      <c r="A71" s="19">
        <v>135030</v>
      </c>
      <c r="B71" s="20" t="s">
        <v>18</v>
      </c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48"/>
      <c r="N71" s="48"/>
      <c r="O71" s="43">
        <f t="shared" si="2"/>
        <v>0</v>
      </c>
    </row>
    <row r="72" spans="1:15" x14ac:dyDescent="0.2">
      <c r="A72" s="19">
        <v>135035</v>
      </c>
      <c r="B72" s="20" t="s">
        <v>40</v>
      </c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48"/>
      <c r="N72" s="48"/>
      <c r="O72" s="43">
        <f t="shared" si="2"/>
        <v>0</v>
      </c>
    </row>
    <row r="73" spans="1:15" x14ac:dyDescent="0.2">
      <c r="A73" s="19"/>
      <c r="B73" s="20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48"/>
      <c r="N73" s="48"/>
      <c r="O73" s="43"/>
    </row>
    <row r="74" spans="1:15" x14ac:dyDescent="0.2">
      <c r="A74" s="65"/>
      <c r="B74" s="27"/>
      <c r="C74" s="28"/>
      <c r="D74" s="28"/>
      <c r="E74" s="28"/>
      <c r="F74" s="28"/>
      <c r="G74" s="28"/>
      <c r="H74" s="28"/>
      <c r="I74" s="28"/>
      <c r="J74" s="28"/>
      <c r="K74" s="27"/>
      <c r="L74" s="27"/>
      <c r="M74" s="48"/>
      <c r="N74" s="48"/>
      <c r="O74" s="29"/>
    </row>
    <row r="75" spans="1:15" x14ac:dyDescent="0.2">
      <c r="A75" s="19">
        <v>138570</v>
      </c>
      <c r="B75" s="27" t="s">
        <v>42</v>
      </c>
      <c r="C75" s="28"/>
      <c r="D75" s="28"/>
      <c r="E75" s="28"/>
      <c r="F75" s="28"/>
      <c r="G75" s="28"/>
      <c r="H75" s="28"/>
      <c r="I75" s="28"/>
      <c r="J75" s="28"/>
      <c r="K75" s="27"/>
      <c r="L75" s="27"/>
      <c r="M75" s="48"/>
      <c r="N75" s="48"/>
      <c r="O75" s="29">
        <f t="shared" si="0"/>
        <v>0</v>
      </c>
    </row>
    <row r="76" spans="1:15" x14ac:dyDescent="0.2">
      <c r="A76" s="19">
        <v>138710</v>
      </c>
      <c r="B76" s="27" t="s">
        <v>43</v>
      </c>
      <c r="C76" s="28"/>
      <c r="D76" s="28"/>
      <c r="E76" s="28"/>
      <c r="F76" s="28"/>
      <c r="G76" s="28"/>
      <c r="H76" s="28"/>
      <c r="I76" s="28"/>
      <c r="J76" s="28"/>
      <c r="K76" s="27"/>
      <c r="L76" s="27"/>
      <c r="M76" s="48"/>
      <c r="N76" s="48"/>
      <c r="O76" s="29">
        <f t="shared" si="0"/>
        <v>0</v>
      </c>
    </row>
    <row r="77" spans="1:15" x14ac:dyDescent="0.2">
      <c r="A77" s="19">
        <v>138720</v>
      </c>
      <c r="B77" s="27" t="s">
        <v>44</v>
      </c>
      <c r="C77" s="28"/>
      <c r="D77" s="28"/>
      <c r="E77" s="28"/>
      <c r="F77" s="28"/>
      <c r="G77" s="28"/>
      <c r="H77" s="28"/>
      <c r="I77" s="28"/>
      <c r="J77" s="28"/>
      <c r="K77" s="27"/>
      <c r="L77" s="27"/>
      <c r="M77" s="48"/>
      <c r="N77" s="48"/>
      <c r="O77" s="29">
        <f t="shared" si="0"/>
        <v>0</v>
      </c>
    </row>
    <row r="78" spans="1:15" x14ac:dyDescent="0.2">
      <c r="A78" s="19">
        <v>138910</v>
      </c>
      <c r="B78" s="27" t="s">
        <v>45</v>
      </c>
      <c r="C78" s="28"/>
      <c r="D78" s="28"/>
      <c r="E78" s="28"/>
      <c r="F78" s="28"/>
      <c r="G78" s="28"/>
      <c r="H78" s="28"/>
      <c r="I78" s="28"/>
      <c r="J78" s="28"/>
      <c r="K78" s="27"/>
      <c r="L78" s="27"/>
      <c r="M78" s="48"/>
      <c r="N78" s="48"/>
      <c r="O78" s="29">
        <f t="shared" si="0"/>
        <v>0</v>
      </c>
    </row>
    <row r="79" spans="1:15" x14ac:dyDescent="0.2">
      <c r="A79" s="19">
        <v>139010</v>
      </c>
      <c r="B79" s="27" t="s">
        <v>46</v>
      </c>
      <c r="C79" s="28"/>
      <c r="D79" s="28"/>
      <c r="E79" s="28"/>
      <c r="F79" s="28"/>
      <c r="G79" s="28"/>
      <c r="H79" s="28"/>
      <c r="I79" s="28"/>
      <c r="J79" s="28"/>
      <c r="K79" s="27"/>
      <c r="L79" s="27"/>
      <c r="M79" s="48"/>
      <c r="N79" s="48"/>
      <c r="O79" s="29">
        <f t="shared" si="0"/>
        <v>0</v>
      </c>
    </row>
    <row r="80" spans="1:15" x14ac:dyDescent="0.2">
      <c r="A80" s="19">
        <v>139410</v>
      </c>
      <c r="B80" s="27" t="s">
        <v>47</v>
      </c>
      <c r="C80" s="28"/>
      <c r="D80" s="28"/>
      <c r="E80" s="28"/>
      <c r="F80" s="28"/>
      <c r="G80" s="28"/>
      <c r="H80" s="28"/>
      <c r="I80" s="28"/>
      <c r="J80" s="28"/>
      <c r="K80" s="27"/>
      <c r="L80" s="27"/>
      <c r="M80" s="48"/>
      <c r="N80" s="48"/>
      <c r="O80" s="29">
        <f t="shared" si="0"/>
        <v>0</v>
      </c>
    </row>
    <row r="81" spans="1:15" x14ac:dyDescent="0.2">
      <c r="A81" s="19"/>
      <c r="B81" s="27"/>
      <c r="C81" s="28"/>
      <c r="D81" s="28"/>
      <c r="E81" s="28"/>
      <c r="F81" s="28"/>
      <c r="G81" s="28"/>
      <c r="H81" s="28"/>
      <c r="I81" s="28"/>
      <c r="J81" s="28"/>
      <c r="K81" s="27"/>
      <c r="L81" s="27"/>
      <c r="M81" s="48"/>
      <c r="N81" s="48"/>
      <c r="O81" s="29"/>
    </row>
    <row r="82" spans="1:15" x14ac:dyDescent="0.2">
      <c r="A82" s="19"/>
      <c r="B82" s="27"/>
      <c r="C82" s="28"/>
      <c r="D82" s="28"/>
      <c r="E82" s="28"/>
      <c r="F82" s="28"/>
      <c r="G82" s="28"/>
      <c r="H82" s="28"/>
      <c r="I82" s="28"/>
      <c r="J82" s="28"/>
      <c r="K82" s="27"/>
      <c r="L82" s="27"/>
      <c r="M82" s="48"/>
      <c r="N82" s="48"/>
      <c r="O82" s="29"/>
    </row>
    <row r="83" spans="1:15" x14ac:dyDescent="0.2">
      <c r="A83" s="19">
        <v>139500</v>
      </c>
      <c r="B83" s="27" t="s">
        <v>48</v>
      </c>
      <c r="C83" s="28"/>
      <c r="D83" s="28"/>
      <c r="E83" s="28"/>
      <c r="F83" s="28"/>
      <c r="G83" s="28"/>
      <c r="H83" s="28"/>
      <c r="I83" s="28"/>
      <c r="J83" s="28"/>
      <c r="K83" s="27"/>
      <c r="L83" s="27"/>
      <c r="M83" s="48"/>
      <c r="N83" s="48"/>
      <c r="O83" s="29">
        <f t="shared" si="0"/>
        <v>0</v>
      </c>
    </row>
    <row r="84" spans="1:15" x14ac:dyDescent="0.2">
      <c r="A84" s="19">
        <v>139510</v>
      </c>
      <c r="B84" s="27" t="s">
        <v>49</v>
      </c>
      <c r="C84" s="28"/>
      <c r="D84" s="28"/>
      <c r="E84" s="28"/>
      <c r="F84" s="28"/>
      <c r="G84" s="28"/>
      <c r="H84" s="28"/>
      <c r="I84" s="28"/>
      <c r="J84" s="28"/>
      <c r="K84" s="27"/>
      <c r="L84" s="27"/>
      <c r="M84" s="48"/>
      <c r="N84" s="48"/>
      <c r="O84" s="29">
        <f t="shared" si="0"/>
        <v>0</v>
      </c>
    </row>
    <row r="85" spans="1:15" x14ac:dyDescent="0.2">
      <c r="A85" s="19">
        <v>139520</v>
      </c>
      <c r="B85" s="27" t="s">
        <v>50</v>
      </c>
      <c r="C85" s="28"/>
      <c r="D85" s="28"/>
      <c r="E85" s="28"/>
      <c r="F85" s="28"/>
      <c r="G85" s="28"/>
      <c r="H85" s="28"/>
      <c r="I85" s="28"/>
      <c r="J85" s="28"/>
      <c r="K85" s="27"/>
      <c r="L85" s="27"/>
      <c r="M85" s="48"/>
      <c r="N85" s="48"/>
      <c r="O85" s="29">
        <f t="shared" si="0"/>
        <v>0</v>
      </c>
    </row>
    <row r="86" spans="1:15" x14ac:dyDescent="0.2">
      <c r="A86" s="19">
        <v>139530</v>
      </c>
      <c r="B86" s="27" t="s">
        <v>45</v>
      </c>
      <c r="C86" s="28"/>
      <c r="D86" s="28"/>
      <c r="E86" s="28"/>
      <c r="F86" s="28"/>
      <c r="G86" s="28"/>
      <c r="H86" s="28"/>
      <c r="I86" s="28"/>
      <c r="J86" s="28"/>
      <c r="K86" s="27"/>
      <c r="L86" s="27"/>
      <c r="M86" s="48"/>
      <c r="N86" s="48"/>
      <c r="O86" s="29">
        <f t="shared" ref="O86:O100" si="3">SUM(C86:N86)</f>
        <v>0</v>
      </c>
    </row>
    <row r="87" spans="1:15" x14ac:dyDescent="0.2">
      <c r="A87" s="19">
        <v>139550</v>
      </c>
      <c r="B87" s="27" t="s">
        <v>51</v>
      </c>
      <c r="C87" s="28"/>
      <c r="D87" s="28"/>
      <c r="E87" s="28"/>
      <c r="F87" s="28"/>
      <c r="G87" s="28"/>
      <c r="H87" s="28"/>
      <c r="I87" s="28"/>
      <c r="J87" s="28"/>
      <c r="K87" s="27"/>
      <c r="L87" s="27"/>
      <c r="M87" s="48"/>
      <c r="N87" s="48"/>
      <c r="O87" s="29">
        <f t="shared" si="3"/>
        <v>0</v>
      </c>
    </row>
    <row r="88" spans="1:15" x14ac:dyDescent="0.2">
      <c r="A88" s="19"/>
      <c r="B88" s="27"/>
      <c r="C88" s="28"/>
      <c r="D88" s="28"/>
      <c r="E88" s="28"/>
      <c r="F88" s="28"/>
      <c r="G88" s="28"/>
      <c r="H88" s="28"/>
      <c r="I88" s="28"/>
      <c r="J88" s="28"/>
      <c r="K88" s="27"/>
      <c r="L88" s="27"/>
      <c r="M88" s="48"/>
      <c r="N88" s="48"/>
      <c r="O88" s="29"/>
    </row>
    <row r="89" spans="1:15" x14ac:dyDescent="0.2">
      <c r="A89" s="19"/>
      <c r="B89" s="27"/>
      <c r="C89" s="28"/>
      <c r="D89" s="28"/>
      <c r="E89" s="28"/>
      <c r="F89" s="28"/>
      <c r="G89" s="28"/>
      <c r="H89" s="28"/>
      <c r="I89" s="28"/>
      <c r="J89" s="28"/>
      <c r="K89" s="27"/>
      <c r="L89" s="27"/>
      <c r="M89" s="48"/>
      <c r="N89" s="48"/>
      <c r="O89" s="29">
        <f t="shared" si="3"/>
        <v>0</v>
      </c>
    </row>
    <row r="90" spans="1:15" x14ac:dyDescent="0.2">
      <c r="A90" s="19">
        <v>148690</v>
      </c>
      <c r="B90" s="27" t="s">
        <v>61</v>
      </c>
      <c r="C90" s="28"/>
      <c r="D90" s="28"/>
      <c r="E90" s="28"/>
      <c r="F90" s="28"/>
      <c r="G90" s="28"/>
      <c r="H90" s="28"/>
      <c r="I90" s="28"/>
      <c r="J90" s="28"/>
      <c r="K90" s="27"/>
      <c r="L90" s="27"/>
      <c r="M90" s="48"/>
      <c r="N90" s="48"/>
      <c r="O90" s="29">
        <f>SUM(O91:O92)</f>
        <v>0</v>
      </c>
    </row>
    <row r="91" spans="1:15" x14ac:dyDescent="0.2">
      <c r="A91" s="19">
        <v>145100</v>
      </c>
      <c r="B91" s="20" t="s">
        <v>53</v>
      </c>
      <c r="C91" s="28"/>
      <c r="D91" s="28"/>
      <c r="E91" s="28"/>
      <c r="F91" s="28"/>
      <c r="G91" s="28"/>
      <c r="H91" s="28"/>
      <c r="I91" s="28"/>
      <c r="J91" s="28"/>
      <c r="K91" s="27"/>
      <c r="L91" s="27"/>
      <c r="M91" s="48"/>
      <c r="N91" s="48"/>
      <c r="O91" s="29">
        <f t="shared" si="3"/>
        <v>0</v>
      </c>
    </row>
    <row r="92" spans="1:15" x14ac:dyDescent="0.2">
      <c r="A92" s="19">
        <v>145210</v>
      </c>
      <c r="B92" s="20" t="s">
        <v>54</v>
      </c>
      <c r="C92" s="28"/>
      <c r="D92" s="28"/>
      <c r="E92" s="28"/>
      <c r="F92" s="28"/>
      <c r="G92" s="28"/>
      <c r="H92" s="28"/>
      <c r="I92" s="28"/>
      <c r="J92" s="28"/>
      <c r="K92" s="27"/>
      <c r="L92" s="27"/>
      <c r="M92" s="48"/>
      <c r="N92" s="48"/>
      <c r="O92" s="29">
        <f t="shared" si="3"/>
        <v>0</v>
      </c>
    </row>
    <row r="93" spans="1:15" x14ac:dyDescent="0.2">
      <c r="A93" s="19">
        <v>145310</v>
      </c>
      <c r="B93" s="20" t="s">
        <v>55</v>
      </c>
      <c r="C93" s="17"/>
      <c r="D93" s="17"/>
      <c r="E93" s="17"/>
      <c r="F93" s="17"/>
      <c r="G93" s="17">
        <v>-53443.32</v>
      </c>
      <c r="H93" s="17"/>
      <c r="I93" s="17"/>
      <c r="J93" s="17"/>
      <c r="K93" s="27"/>
      <c r="L93" s="27"/>
      <c r="M93" s="48"/>
      <c r="N93" s="48"/>
      <c r="O93" s="43">
        <f>SUM(C93:N93)</f>
        <v>-53443.32</v>
      </c>
    </row>
    <row r="94" spans="1:15" x14ac:dyDescent="0.2">
      <c r="A94" s="19">
        <v>145315</v>
      </c>
      <c r="B94" s="20" t="s">
        <v>56</v>
      </c>
      <c r="C94" s="28"/>
      <c r="D94" s="28"/>
      <c r="E94" s="28"/>
      <c r="F94" s="28"/>
      <c r="G94" s="17">
        <v>53443.32</v>
      </c>
      <c r="H94" s="28"/>
      <c r="I94" s="28"/>
      <c r="J94" s="28"/>
      <c r="K94" s="27"/>
      <c r="L94" s="27"/>
      <c r="M94" s="48"/>
      <c r="N94" s="48"/>
      <c r="O94" s="43">
        <f>SUM(C94:N94)</f>
        <v>53443.32</v>
      </c>
    </row>
    <row r="95" spans="1:15" x14ac:dyDescent="0.2">
      <c r="A95" s="19">
        <v>145320</v>
      </c>
      <c r="B95" s="20" t="s">
        <v>57</v>
      </c>
      <c r="C95" s="28"/>
      <c r="D95" s="28"/>
      <c r="E95" s="28"/>
      <c r="F95" s="28"/>
      <c r="G95" s="17">
        <v>-876.45</v>
      </c>
      <c r="H95" s="28"/>
      <c r="I95" s="28"/>
      <c r="J95" s="28"/>
      <c r="K95" s="27"/>
      <c r="L95" s="27"/>
      <c r="M95" s="48"/>
      <c r="N95" s="48"/>
      <c r="O95" s="29">
        <f t="shared" si="3"/>
        <v>-876.45</v>
      </c>
    </row>
    <row r="96" spans="1:15" x14ac:dyDescent="0.2">
      <c r="A96" s="19"/>
      <c r="B96" s="20"/>
      <c r="C96" s="28"/>
      <c r="D96" s="28"/>
      <c r="E96" s="28"/>
      <c r="F96" s="28"/>
      <c r="G96" s="28"/>
      <c r="H96" s="28"/>
      <c r="I96" s="28"/>
      <c r="J96" s="28"/>
      <c r="K96" s="27"/>
      <c r="L96" s="27"/>
      <c r="M96" s="48"/>
      <c r="N96" s="48"/>
      <c r="O96" s="29"/>
    </row>
    <row r="97" spans="1:15" x14ac:dyDescent="0.2">
      <c r="A97" s="19">
        <v>145100</v>
      </c>
      <c r="B97" s="27" t="s">
        <v>53</v>
      </c>
      <c r="C97" s="28"/>
      <c r="D97" s="28"/>
      <c r="E97" s="28"/>
      <c r="F97" s="28"/>
      <c r="G97" s="28"/>
      <c r="H97" s="28"/>
      <c r="I97" s="28"/>
      <c r="J97" s="28"/>
      <c r="K97" s="27"/>
      <c r="L97" s="27"/>
      <c r="M97" s="48"/>
      <c r="N97" s="48"/>
      <c r="O97" s="29">
        <f t="shared" si="3"/>
        <v>0</v>
      </c>
    </row>
    <row r="98" spans="1:15" x14ac:dyDescent="0.2">
      <c r="A98" s="75">
        <v>145310</v>
      </c>
      <c r="B98" s="27" t="s">
        <v>821</v>
      </c>
      <c r="C98" s="28"/>
      <c r="D98" s="28"/>
      <c r="E98" s="28"/>
      <c r="F98" s="28"/>
      <c r="G98" s="28"/>
      <c r="H98" s="28"/>
      <c r="I98" s="28"/>
      <c r="J98" s="28"/>
      <c r="K98" s="27"/>
      <c r="L98" s="27"/>
      <c r="M98" s="48"/>
      <c r="N98" s="48"/>
      <c r="O98" s="29">
        <f t="shared" si="3"/>
        <v>0</v>
      </c>
    </row>
    <row r="99" spans="1:15" ht="15" x14ac:dyDescent="0.25">
      <c r="A99" s="19">
        <v>146315</v>
      </c>
      <c r="B99" s="35" t="s">
        <v>712</v>
      </c>
      <c r="C99" s="28"/>
      <c r="D99" s="27"/>
      <c r="E99" s="27"/>
      <c r="F99" s="27"/>
      <c r="G99" s="28"/>
      <c r="H99" s="27"/>
      <c r="I99" s="27"/>
      <c r="J99" s="27"/>
      <c r="K99" s="27"/>
      <c r="L99" s="27"/>
      <c r="M99" s="27"/>
      <c r="N99" s="27"/>
      <c r="O99" s="29"/>
    </row>
    <row r="100" spans="1:15" ht="15" x14ac:dyDescent="0.25">
      <c r="A100" s="19">
        <v>146320</v>
      </c>
      <c r="B100" s="35" t="s">
        <v>713</v>
      </c>
      <c r="C100" s="17">
        <v>-1959.32</v>
      </c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9">
        <f t="shared" si="3"/>
        <v>-1959.32</v>
      </c>
    </row>
    <row r="101" spans="1:15" x14ac:dyDescent="0.2">
      <c r="A101" s="66">
        <v>147020</v>
      </c>
      <c r="B101" s="27" t="s">
        <v>822</v>
      </c>
      <c r="C101" s="28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9"/>
    </row>
    <row r="102" spans="1:15" ht="13.5" thickBot="1" x14ac:dyDescent="0.25">
      <c r="A102" s="30"/>
      <c r="B102" s="31"/>
      <c r="C102" s="32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3"/>
    </row>
    <row r="103" spans="1:15" ht="13.5" thickTop="1" x14ac:dyDescent="0.2"/>
  </sheetData>
  <autoFilter ref="A4:O100" xr:uid="{B058BCAB-E224-4B04-A390-5345264EE1AE}"/>
  <phoneticPr fontId="9" type="noConversion"/>
  <pageMargins left="0.78740157499999996" right="0.78740157499999996" top="0.984251969" bottom="0.984251969" header="0.49212598499999999" footer="0.49212598499999999"/>
  <pageSetup paperSize="9" scale="75" orientation="landscape" verticalDpi="12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2:O61"/>
  <sheetViews>
    <sheetView showGridLines="0" zoomScale="80" zoomScaleNormal="80" workbookViewId="0">
      <pane ySplit="4" topLeftCell="A29" activePane="bottomLeft" state="frozen"/>
      <selection activeCell="G23" sqref="G23"/>
      <selection pane="bottomLeft" activeCell="O32" sqref="O32"/>
    </sheetView>
  </sheetViews>
  <sheetFormatPr defaultColWidth="12.5703125" defaultRowHeight="12.75" x14ac:dyDescent="0.2"/>
  <cols>
    <col min="1" max="1" width="11.42578125" customWidth="1"/>
    <col min="2" max="2" width="57" bestFit="1" customWidth="1"/>
    <col min="3" max="3" width="11.7109375" style="1" bestFit="1" customWidth="1"/>
    <col min="4" max="4" width="12.28515625" bestFit="1" customWidth="1"/>
    <col min="5" max="5" width="12.7109375" bestFit="1" customWidth="1"/>
    <col min="6" max="6" width="12.140625" bestFit="1" customWidth="1"/>
    <col min="7" max="7" width="12.42578125" bestFit="1" customWidth="1"/>
    <col min="8" max="8" width="12.7109375" bestFit="1" customWidth="1"/>
    <col min="9" max="9" width="12" bestFit="1" customWidth="1"/>
    <col min="10" max="10" width="12.42578125" bestFit="1" customWidth="1"/>
    <col min="11" max="12" width="12.140625" bestFit="1" customWidth="1"/>
    <col min="13" max="14" width="12.42578125" bestFit="1" customWidth="1"/>
    <col min="15" max="15" width="14.85546875" bestFit="1" customWidth="1"/>
    <col min="257" max="257" width="11.42578125" customWidth="1"/>
    <col min="258" max="258" width="57" bestFit="1" customWidth="1"/>
    <col min="259" max="259" width="11.7109375" bestFit="1" customWidth="1"/>
    <col min="260" max="260" width="11.85546875" bestFit="1" customWidth="1"/>
    <col min="261" max="261" width="12.7109375" bestFit="1" customWidth="1"/>
    <col min="262" max="262" width="12.140625" bestFit="1" customWidth="1"/>
    <col min="263" max="263" width="12.42578125" bestFit="1" customWidth="1"/>
    <col min="264" max="264" width="12.7109375" bestFit="1" customWidth="1"/>
    <col min="265" max="265" width="11.28515625" bestFit="1" customWidth="1"/>
    <col min="266" max="266" width="12.42578125" bestFit="1" customWidth="1"/>
    <col min="267" max="268" width="12.140625" bestFit="1" customWidth="1"/>
    <col min="269" max="270" width="12.42578125" bestFit="1" customWidth="1"/>
    <col min="271" max="271" width="13.5703125" bestFit="1" customWidth="1"/>
    <col min="513" max="513" width="11.42578125" customWidth="1"/>
    <col min="514" max="514" width="57" bestFit="1" customWidth="1"/>
    <col min="515" max="515" width="11.7109375" bestFit="1" customWidth="1"/>
    <col min="516" max="516" width="11.85546875" bestFit="1" customWidth="1"/>
    <col min="517" max="517" width="12.7109375" bestFit="1" customWidth="1"/>
    <col min="518" max="518" width="12.140625" bestFit="1" customWidth="1"/>
    <col min="519" max="519" width="12.42578125" bestFit="1" customWidth="1"/>
    <col min="520" max="520" width="12.7109375" bestFit="1" customWidth="1"/>
    <col min="521" max="521" width="11.28515625" bestFit="1" customWidth="1"/>
    <col min="522" max="522" width="12.42578125" bestFit="1" customWidth="1"/>
    <col min="523" max="524" width="12.140625" bestFit="1" customWidth="1"/>
    <col min="525" max="526" width="12.42578125" bestFit="1" customWidth="1"/>
    <col min="527" max="527" width="13.5703125" bestFit="1" customWidth="1"/>
    <col min="769" max="769" width="11.42578125" customWidth="1"/>
    <col min="770" max="770" width="57" bestFit="1" customWidth="1"/>
    <col min="771" max="771" width="11.7109375" bestFit="1" customWidth="1"/>
    <col min="772" max="772" width="11.85546875" bestFit="1" customWidth="1"/>
    <col min="773" max="773" width="12.7109375" bestFit="1" customWidth="1"/>
    <col min="774" max="774" width="12.140625" bestFit="1" customWidth="1"/>
    <col min="775" max="775" width="12.42578125" bestFit="1" customWidth="1"/>
    <col min="776" max="776" width="12.7109375" bestFit="1" customWidth="1"/>
    <col min="777" max="777" width="11.28515625" bestFit="1" customWidth="1"/>
    <col min="778" max="778" width="12.42578125" bestFit="1" customWidth="1"/>
    <col min="779" max="780" width="12.140625" bestFit="1" customWidth="1"/>
    <col min="781" max="782" width="12.42578125" bestFit="1" customWidth="1"/>
    <col min="783" max="783" width="13.5703125" bestFit="1" customWidth="1"/>
    <col min="1025" max="1025" width="11.42578125" customWidth="1"/>
    <col min="1026" max="1026" width="57" bestFit="1" customWidth="1"/>
    <col min="1027" max="1027" width="11.7109375" bestFit="1" customWidth="1"/>
    <col min="1028" max="1028" width="11.85546875" bestFit="1" customWidth="1"/>
    <col min="1029" max="1029" width="12.7109375" bestFit="1" customWidth="1"/>
    <col min="1030" max="1030" width="12.140625" bestFit="1" customWidth="1"/>
    <col min="1031" max="1031" width="12.42578125" bestFit="1" customWidth="1"/>
    <col min="1032" max="1032" width="12.7109375" bestFit="1" customWidth="1"/>
    <col min="1033" max="1033" width="11.28515625" bestFit="1" customWidth="1"/>
    <col min="1034" max="1034" width="12.42578125" bestFit="1" customWidth="1"/>
    <col min="1035" max="1036" width="12.140625" bestFit="1" customWidth="1"/>
    <col min="1037" max="1038" width="12.42578125" bestFit="1" customWidth="1"/>
    <col min="1039" max="1039" width="13.5703125" bestFit="1" customWidth="1"/>
    <col min="1281" max="1281" width="11.42578125" customWidth="1"/>
    <col min="1282" max="1282" width="57" bestFit="1" customWidth="1"/>
    <col min="1283" max="1283" width="11.7109375" bestFit="1" customWidth="1"/>
    <col min="1284" max="1284" width="11.85546875" bestFit="1" customWidth="1"/>
    <col min="1285" max="1285" width="12.7109375" bestFit="1" customWidth="1"/>
    <col min="1286" max="1286" width="12.140625" bestFit="1" customWidth="1"/>
    <col min="1287" max="1287" width="12.42578125" bestFit="1" customWidth="1"/>
    <col min="1288" max="1288" width="12.7109375" bestFit="1" customWidth="1"/>
    <col min="1289" max="1289" width="11.28515625" bestFit="1" customWidth="1"/>
    <col min="1290" max="1290" width="12.42578125" bestFit="1" customWidth="1"/>
    <col min="1291" max="1292" width="12.140625" bestFit="1" customWidth="1"/>
    <col min="1293" max="1294" width="12.42578125" bestFit="1" customWidth="1"/>
    <col min="1295" max="1295" width="13.5703125" bestFit="1" customWidth="1"/>
    <col min="1537" max="1537" width="11.42578125" customWidth="1"/>
    <col min="1538" max="1538" width="57" bestFit="1" customWidth="1"/>
    <col min="1539" max="1539" width="11.7109375" bestFit="1" customWidth="1"/>
    <col min="1540" max="1540" width="11.85546875" bestFit="1" customWidth="1"/>
    <col min="1541" max="1541" width="12.7109375" bestFit="1" customWidth="1"/>
    <col min="1542" max="1542" width="12.140625" bestFit="1" customWidth="1"/>
    <col min="1543" max="1543" width="12.42578125" bestFit="1" customWidth="1"/>
    <col min="1544" max="1544" width="12.7109375" bestFit="1" customWidth="1"/>
    <col min="1545" max="1545" width="11.28515625" bestFit="1" customWidth="1"/>
    <col min="1546" max="1546" width="12.42578125" bestFit="1" customWidth="1"/>
    <col min="1547" max="1548" width="12.140625" bestFit="1" customWidth="1"/>
    <col min="1549" max="1550" width="12.42578125" bestFit="1" customWidth="1"/>
    <col min="1551" max="1551" width="13.5703125" bestFit="1" customWidth="1"/>
    <col min="1793" max="1793" width="11.42578125" customWidth="1"/>
    <col min="1794" max="1794" width="57" bestFit="1" customWidth="1"/>
    <col min="1795" max="1795" width="11.7109375" bestFit="1" customWidth="1"/>
    <col min="1796" max="1796" width="11.85546875" bestFit="1" customWidth="1"/>
    <col min="1797" max="1797" width="12.7109375" bestFit="1" customWidth="1"/>
    <col min="1798" max="1798" width="12.140625" bestFit="1" customWidth="1"/>
    <col min="1799" max="1799" width="12.42578125" bestFit="1" customWidth="1"/>
    <col min="1800" max="1800" width="12.7109375" bestFit="1" customWidth="1"/>
    <col min="1801" max="1801" width="11.28515625" bestFit="1" customWidth="1"/>
    <col min="1802" max="1802" width="12.42578125" bestFit="1" customWidth="1"/>
    <col min="1803" max="1804" width="12.140625" bestFit="1" customWidth="1"/>
    <col min="1805" max="1806" width="12.42578125" bestFit="1" customWidth="1"/>
    <col min="1807" max="1807" width="13.5703125" bestFit="1" customWidth="1"/>
    <col min="2049" max="2049" width="11.42578125" customWidth="1"/>
    <col min="2050" max="2050" width="57" bestFit="1" customWidth="1"/>
    <col min="2051" max="2051" width="11.7109375" bestFit="1" customWidth="1"/>
    <col min="2052" max="2052" width="11.85546875" bestFit="1" customWidth="1"/>
    <col min="2053" max="2053" width="12.7109375" bestFit="1" customWidth="1"/>
    <col min="2054" max="2054" width="12.140625" bestFit="1" customWidth="1"/>
    <col min="2055" max="2055" width="12.42578125" bestFit="1" customWidth="1"/>
    <col min="2056" max="2056" width="12.7109375" bestFit="1" customWidth="1"/>
    <col min="2057" max="2057" width="11.28515625" bestFit="1" customWidth="1"/>
    <col min="2058" max="2058" width="12.42578125" bestFit="1" customWidth="1"/>
    <col min="2059" max="2060" width="12.140625" bestFit="1" customWidth="1"/>
    <col min="2061" max="2062" width="12.42578125" bestFit="1" customWidth="1"/>
    <col min="2063" max="2063" width="13.5703125" bestFit="1" customWidth="1"/>
    <col min="2305" max="2305" width="11.42578125" customWidth="1"/>
    <col min="2306" max="2306" width="57" bestFit="1" customWidth="1"/>
    <col min="2307" max="2307" width="11.7109375" bestFit="1" customWidth="1"/>
    <col min="2308" max="2308" width="11.85546875" bestFit="1" customWidth="1"/>
    <col min="2309" max="2309" width="12.7109375" bestFit="1" customWidth="1"/>
    <col min="2310" max="2310" width="12.140625" bestFit="1" customWidth="1"/>
    <col min="2311" max="2311" width="12.42578125" bestFit="1" customWidth="1"/>
    <col min="2312" max="2312" width="12.7109375" bestFit="1" customWidth="1"/>
    <col min="2313" max="2313" width="11.28515625" bestFit="1" customWidth="1"/>
    <col min="2314" max="2314" width="12.42578125" bestFit="1" customWidth="1"/>
    <col min="2315" max="2316" width="12.140625" bestFit="1" customWidth="1"/>
    <col min="2317" max="2318" width="12.42578125" bestFit="1" customWidth="1"/>
    <col min="2319" max="2319" width="13.5703125" bestFit="1" customWidth="1"/>
    <col min="2561" max="2561" width="11.42578125" customWidth="1"/>
    <col min="2562" max="2562" width="57" bestFit="1" customWidth="1"/>
    <col min="2563" max="2563" width="11.7109375" bestFit="1" customWidth="1"/>
    <col min="2564" max="2564" width="11.85546875" bestFit="1" customWidth="1"/>
    <col min="2565" max="2565" width="12.7109375" bestFit="1" customWidth="1"/>
    <col min="2566" max="2566" width="12.140625" bestFit="1" customWidth="1"/>
    <col min="2567" max="2567" width="12.42578125" bestFit="1" customWidth="1"/>
    <col min="2568" max="2568" width="12.7109375" bestFit="1" customWidth="1"/>
    <col min="2569" max="2569" width="11.28515625" bestFit="1" customWidth="1"/>
    <col min="2570" max="2570" width="12.42578125" bestFit="1" customWidth="1"/>
    <col min="2571" max="2572" width="12.140625" bestFit="1" customWidth="1"/>
    <col min="2573" max="2574" width="12.42578125" bestFit="1" customWidth="1"/>
    <col min="2575" max="2575" width="13.5703125" bestFit="1" customWidth="1"/>
    <col min="2817" max="2817" width="11.42578125" customWidth="1"/>
    <col min="2818" max="2818" width="57" bestFit="1" customWidth="1"/>
    <col min="2819" max="2819" width="11.7109375" bestFit="1" customWidth="1"/>
    <col min="2820" max="2820" width="11.85546875" bestFit="1" customWidth="1"/>
    <col min="2821" max="2821" width="12.7109375" bestFit="1" customWidth="1"/>
    <col min="2822" max="2822" width="12.140625" bestFit="1" customWidth="1"/>
    <col min="2823" max="2823" width="12.42578125" bestFit="1" customWidth="1"/>
    <col min="2824" max="2824" width="12.7109375" bestFit="1" customWidth="1"/>
    <col min="2825" max="2825" width="11.28515625" bestFit="1" customWidth="1"/>
    <col min="2826" max="2826" width="12.42578125" bestFit="1" customWidth="1"/>
    <col min="2827" max="2828" width="12.140625" bestFit="1" customWidth="1"/>
    <col min="2829" max="2830" width="12.42578125" bestFit="1" customWidth="1"/>
    <col min="2831" max="2831" width="13.5703125" bestFit="1" customWidth="1"/>
    <col min="3073" max="3073" width="11.42578125" customWidth="1"/>
    <col min="3074" max="3074" width="57" bestFit="1" customWidth="1"/>
    <col min="3075" max="3075" width="11.7109375" bestFit="1" customWidth="1"/>
    <col min="3076" max="3076" width="11.85546875" bestFit="1" customWidth="1"/>
    <col min="3077" max="3077" width="12.7109375" bestFit="1" customWidth="1"/>
    <col min="3078" max="3078" width="12.140625" bestFit="1" customWidth="1"/>
    <col min="3079" max="3079" width="12.42578125" bestFit="1" customWidth="1"/>
    <col min="3080" max="3080" width="12.7109375" bestFit="1" customWidth="1"/>
    <col min="3081" max="3081" width="11.28515625" bestFit="1" customWidth="1"/>
    <col min="3082" max="3082" width="12.42578125" bestFit="1" customWidth="1"/>
    <col min="3083" max="3084" width="12.140625" bestFit="1" customWidth="1"/>
    <col min="3085" max="3086" width="12.42578125" bestFit="1" customWidth="1"/>
    <col min="3087" max="3087" width="13.5703125" bestFit="1" customWidth="1"/>
    <col min="3329" max="3329" width="11.42578125" customWidth="1"/>
    <col min="3330" max="3330" width="57" bestFit="1" customWidth="1"/>
    <col min="3331" max="3331" width="11.7109375" bestFit="1" customWidth="1"/>
    <col min="3332" max="3332" width="11.85546875" bestFit="1" customWidth="1"/>
    <col min="3333" max="3333" width="12.7109375" bestFit="1" customWidth="1"/>
    <col min="3334" max="3334" width="12.140625" bestFit="1" customWidth="1"/>
    <col min="3335" max="3335" width="12.42578125" bestFit="1" customWidth="1"/>
    <col min="3336" max="3336" width="12.7109375" bestFit="1" customWidth="1"/>
    <col min="3337" max="3337" width="11.28515625" bestFit="1" customWidth="1"/>
    <col min="3338" max="3338" width="12.42578125" bestFit="1" customWidth="1"/>
    <col min="3339" max="3340" width="12.140625" bestFit="1" customWidth="1"/>
    <col min="3341" max="3342" width="12.42578125" bestFit="1" customWidth="1"/>
    <col min="3343" max="3343" width="13.5703125" bestFit="1" customWidth="1"/>
    <col min="3585" max="3585" width="11.42578125" customWidth="1"/>
    <col min="3586" max="3586" width="57" bestFit="1" customWidth="1"/>
    <col min="3587" max="3587" width="11.7109375" bestFit="1" customWidth="1"/>
    <col min="3588" max="3588" width="11.85546875" bestFit="1" customWidth="1"/>
    <col min="3589" max="3589" width="12.7109375" bestFit="1" customWidth="1"/>
    <col min="3590" max="3590" width="12.140625" bestFit="1" customWidth="1"/>
    <col min="3591" max="3591" width="12.42578125" bestFit="1" customWidth="1"/>
    <col min="3592" max="3592" width="12.7109375" bestFit="1" customWidth="1"/>
    <col min="3593" max="3593" width="11.28515625" bestFit="1" customWidth="1"/>
    <col min="3594" max="3594" width="12.42578125" bestFit="1" customWidth="1"/>
    <col min="3595" max="3596" width="12.140625" bestFit="1" customWidth="1"/>
    <col min="3597" max="3598" width="12.42578125" bestFit="1" customWidth="1"/>
    <col min="3599" max="3599" width="13.5703125" bestFit="1" customWidth="1"/>
    <col min="3841" max="3841" width="11.42578125" customWidth="1"/>
    <col min="3842" max="3842" width="57" bestFit="1" customWidth="1"/>
    <col min="3843" max="3843" width="11.7109375" bestFit="1" customWidth="1"/>
    <col min="3844" max="3844" width="11.85546875" bestFit="1" customWidth="1"/>
    <col min="3845" max="3845" width="12.7109375" bestFit="1" customWidth="1"/>
    <col min="3846" max="3846" width="12.140625" bestFit="1" customWidth="1"/>
    <col min="3847" max="3847" width="12.42578125" bestFit="1" customWidth="1"/>
    <col min="3848" max="3848" width="12.7109375" bestFit="1" customWidth="1"/>
    <col min="3849" max="3849" width="11.28515625" bestFit="1" customWidth="1"/>
    <col min="3850" max="3850" width="12.42578125" bestFit="1" customWidth="1"/>
    <col min="3851" max="3852" width="12.140625" bestFit="1" customWidth="1"/>
    <col min="3853" max="3854" width="12.42578125" bestFit="1" customWidth="1"/>
    <col min="3855" max="3855" width="13.5703125" bestFit="1" customWidth="1"/>
    <col min="4097" max="4097" width="11.42578125" customWidth="1"/>
    <col min="4098" max="4098" width="57" bestFit="1" customWidth="1"/>
    <col min="4099" max="4099" width="11.7109375" bestFit="1" customWidth="1"/>
    <col min="4100" max="4100" width="11.85546875" bestFit="1" customWidth="1"/>
    <col min="4101" max="4101" width="12.7109375" bestFit="1" customWidth="1"/>
    <col min="4102" max="4102" width="12.140625" bestFit="1" customWidth="1"/>
    <col min="4103" max="4103" width="12.42578125" bestFit="1" customWidth="1"/>
    <col min="4104" max="4104" width="12.7109375" bestFit="1" customWidth="1"/>
    <col min="4105" max="4105" width="11.28515625" bestFit="1" customWidth="1"/>
    <col min="4106" max="4106" width="12.42578125" bestFit="1" customWidth="1"/>
    <col min="4107" max="4108" width="12.140625" bestFit="1" customWidth="1"/>
    <col min="4109" max="4110" width="12.42578125" bestFit="1" customWidth="1"/>
    <col min="4111" max="4111" width="13.5703125" bestFit="1" customWidth="1"/>
    <col min="4353" max="4353" width="11.42578125" customWidth="1"/>
    <col min="4354" max="4354" width="57" bestFit="1" customWidth="1"/>
    <col min="4355" max="4355" width="11.7109375" bestFit="1" customWidth="1"/>
    <col min="4356" max="4356" width="11.85546875" bestFit="1" customWidth="1"/>
    <col min="4357" max="4357" width="12.7109375" bestFit="1" customWidth="1"/>
    <col min="4358" max="4358" width="12.140625" bestFit="1" customWidth="1"/>
    <col min="4359" max="4359" width="12.42578125" bestFit="1" customWidth="1"/>
    <col min="4360" max="4360" width="12.7109375" bestFit="1" customWidth="1"/>
    <col min="4361" max="4361" width="11.28515625" bestFit="1" customWidth="1"/>
    <col min="4362" max="4362" width="12.42578125" bestFit="1" customWidth="1"/>
    <col min="4363" max="4364" width="12.140625" bestFit="1" customWidth="1"/>
    <col min="4365" max="4366" width="12.42578125" bestFit="1" customWidth="1"/>
    <col min="4367" max="4367" width="13.5703125" bestFit="1" customWidth="1"/>
    <col min="4609" max="4609" width="11.42578125" customWidth="1"/>
    <col min="4610" max="4610" width="57" bestFit="1" customWidth="1"/>
    <col min="4611" max="4611" width="11.7109375" bestFit="1" customWidth="1"/>
    <col min="4612" max="4612" width="11.85546875" bestFit="1" customWidth="1"/>
    <col min="4613" max="4613" width="12.7109375" bestFit="1" customWidth="1"/>
    <col min="4614" max="4614" width="12.140625" bestFit="1" customWidth="1"/>
    <col min="4615" max="4615" width="12.42578125" bestFit="1" customWidth="1"/>
    <col min="4616" max="4616" width="12.7109375" bestFit="1" customWidth="1"/>
    <col min="4617" max="4617" width="11.28515625" bestFit="1" customWidth="1"/>
    <col min="4618" max="4618" width="12.42578125" bestFit="1" customWidth="1"/>
    <col min="4619" max="4620" width="12.140625" bestFit="1" customWidth="1"/>
    <col min="4621" max="4622" width="12.42578125" bestFit="1" customWidth="1"/>
    <col min="4623" max="4623" width="13.5703125" bestFit="1" customWidth="1"/>
    <col min="4865" max="4865" width="11.42578125" customWidth="1"/>
    <col min="4866" max="4866" width="57" bestFit="1" customWidth="1"/>
    <col min="4867" max="4867" width="11.7109375" bestFit="1" customWidth="1"/>
    <col min="4868" max="4868" width="11.85546875" bestFit="1" customWidth="1"/>
    <col min="4869" max="4869" width="12.7109375" bestFit="1" customWidth="1"/>
    <col min="4870" max="4870" width="12.140625" bestFit="1" customWidth="1"/>
    <col min="4871" max="4871" width="12.42578125" bestFit="1" customWidth="1"/>
    <col min="4872" max="4872" width="12.7109375" bestFit="1" customWidth="1"/>
    <col min="4873" max="4873" width="11.28515625" bestFit="1" customWidth="1"/>
    <col min="4874" max="4874" width="12.42578125" bestFit="1" customWidth="1"/>
    <col min="4875" max="4876" width="12.140625" bestFit="1" customWidth="1"/>
    <col min="4877" max="4878" width="12.42578125" bestFit="1" customWidth="1"/>
    <col min="4879" max="4879" width="13.5703125" bestFit="1" customWidth="1"/>
    <col min="5121" max="5121" width="11.42578125" customWidth="1"/>
    <col min="5122" max="5122" width="57" bestFit="1" customWidth="1"/>
    <col min="5123" max="5123" width="11.7109375" bestFit="1" customWidth="1"/>
    <col min="5124" max="5124" width="11.85546875" bestFit="1" customWidth="1"/>
    <col min="5125" max="5125" width="12.7109375" bestFit="1" customWidth="1"/>
    <col min="5126" max="5126" width="12.140625" bestFit="1" customWidth="1"/>
    <col min="5127" max="5127" width="12.42578125" bestFit="1" customWidth="1"/>
    <col min="5128" max="5128" width="12.7109375" bestFit="1" customWidth="1"/>
    <col min="5129" max="5129" width="11.28515625" bestFit="1" customWidth="1"/>
    <col min="5130" max="5130" width="12.42578125" bestFit="1" customWidth="1"/>
    <col min="5131" max="5132" width="12.140625" bestFit="1" customWidth="1"/>
    <col min="5133" max="5134" width="12.42578125" bestFit="1" customWidth="1"/>
    <col min="5135" max="5135" width="13.5703125" bestFit="1" customWidth="1"/>
    <col min="5377" max="5377" width="11.42578125" customWidth="1"/>
    <col min="5378" max="5378" width="57" bestFit="1" customWidth="1"/>
    <col min="5379" max="5379" width="11.7109375" bestFit="1" customWidth="1"/>
    <col min="5380" max="5380" width="11.85546875" bestFit="1" customWidth="1"/>
    <col min="5381" max="5381" width="12.7109375" bestFit="1" customWidth="1"/>
    <col min="5382" max="5382" width="12.140625" bestFit="1" customWidth="1"/>
    <col min="5383" max="5383" width="12.42578125" bestFit="1" customWidth="1"/>
    <col min="5384" max="5384" width="12.7109375" bestFit="1" customWidth="1"/>
    <col min="5385" max="5385" width="11.28515625" bestFit="1" customWidth="1"/>
    <col min="5386" max="5386" width="12.42578125" bestFit="1" customWidth="1"/>
    <col min="5387" max="5388" width="12.140625" bestFit="1" customWidth="1"/>
    <col min="5389" max="5390" width="12.42578125" bestFit="1" customWidth="1"/>
    <col min="5391" max="5391" width="13.5703125" bestFit="1" customWidth="1"/>
    <col min="5633" max="5633" width="11.42578125" customWidth="1"/>
    <col min="5634" max="5634" width="57" bestFit="1" customWidth="1"/>
    <col min="5635" max="5635" width="11.7109375" bestFit="1" customWidth="1"/>
    <col min="5636" max="5636" width="11.85546875" bestFit="1" customWidth="1"/>
    <col min="5637" max="5637" width="12.7109375" bestFit="1" customWidth="1"/>
    <col min="5638" max="5638" width="12.140625" bestFit="1" customWidth="1"/>
    <col min="5639" max="5639" width="12.42578125" bestFit="1" customWidth="1"/>
    <col min="5640" max="5640" width="12.7109375" bestFit="1" customWidth="1"/>
    <col min="5641" max="5641" width="11.28515625" bestFit="1" customWidth="1"/>
    <col min="5642" max="5642" width="12.42578125" bestFit="1" customWidth="1"/>
    <col min="5643" max="5644" width="12.140625" bestFit="1" customWidth="1"/>
    <col min="5645" max="5646" width="12.42578125" bestFit="1" customWidth="1"/>
    <col min="5647" max="5647" width="13.5703125" bestFit="1" customWidth="1"/>
    <col min="5889" max="5889" width="11.42578125" customWidth="1"/>
    <col min="5890" max="5890" width="57" bestFit="1" customWidth="1"/>
    <col min="5891" max="5891" width="11.7109375" bestFit="1" customWidth="1"/>
    <col min="5892" max="5892" width="11.85546875" bestFit="1" customWidth="1"/>
    <col min="5893" max="5893" width="12.7109375" bestFit="1" customWidth="1"/>
    <col min="5894" max="5894" width="12.140625" bestFit="1" customWidth="1"/>
    <col min="5895" max="5895" width="12.42578125" bestFit="1" customWidth="1"/>
    <col min="5896" max="5896" width="12.7109375" bestFit="1" customWidth="1"/>
    <col min="5897" max="5897" width="11.28515625" bestFit="1" customWidth="1"/>
    <col min="5898" max="5898" width="12.42578125" bestFit="1" customWidth="1"/>
    <col min="5899" max="5900" width="12.140625" bestFit="1" customWidth="1"/>
    <col min="5901" max="5902" width="12.42578125" bestFit="1" customWidth="1"/>
    <col min="5903" max="5903" width="13.5703125" bestFit="1" customWidth="1"/>
    <col min="6145" max="6145" width="11.42578125" customWidth="1"/>
    <col min="6146" max="6146" width="57" bestFit="1" customWidth="1"/>
    <col min="6147" max="6147" width="11.7109375" bestFit="1" customWidth="1"/>
    <col min="6148" max="6148" width="11.85546875" bestFit="1" customWidth="1"/>
    <col min="6149" max="6149" width="12.7109375" bestFit="1" customWidth="1"/>
    <col min="6150" max="6150" width="12.140625" bestFit="1" customWidth="1"/>
    <col min="6151" max="6151" width="12.42578125" bestFit="1" customWidth="1"/>
    <col min="6152" max="6152" width="12.7109375" bestFit="1" customWidth="1"/>
    <col min="6153" max="6153" width="11.28515625" bestFit="1" customWidth="1"/>
    <col min="6154" max="6154" width="12.42578125" bestFit="1" customWidth="1"/>
    <col min="6155" max="6156" width="12.140625" bestFit="1" customWidth="1"/>
    <col min="6157" max="6158" width="12.42578125" bestFit="1" customWidth="1"/>
    <col min="6159" max="6159" width="13.5703125" bestFit="1" customWidth="1"/>
    <col min="6401" max="6401" width="11.42578125" customWidth="1"/>
    <col min="6402" max="6402" width="57" bestFit="1" customWidth="1"/>
    <col min="6403" max="6403" width="11.7109375" bestFit="1" customWidth="1"/>
    <col min="6404" max="6404" width="11.85546875" bestFit="1" customWidth="1"/>
    <col min="6405" max="6405" width="12.7109375" bestFit="1" customWidth="1"/>
    <col min="6406" max="6406" width="12.140625" bestFit="1" customWidth="1"/>
    <col min="6407" max="6407" width="12.42578125" bestFit="1" customWidth="1"/>
    <col min="6408" max="6408" width="12.7109375" bestFit="1" customWidth="1"/>
    <col min="6409" max="6409" width="11.28515625" bestFit="1" customWidth="1"/>
    <col min="6410" max="6410" width="12.42578125" bestFit="1" customWidth="1"/>
    <col min="6411" max="6412" width="12.140625" bestFit="1" customWidth="1"/>
    <col min="6413" max="6414" width="12.42578125" bestFit="1" customWidth="1"/>
    <col min="6415" max="6415" width="13.5703125" bestFit="1" customWidth="1"/>
    <col min="6657" max="6657" width="11.42578125" customWidth="1"/>
    <col min="6658" max="6658" width="57" bestFit="1" customWidth="1"/>
    <col min="6659" max="6659" width="11.7109375" bestFit="1" customWidth="1"/>
    <col min="6660" max="6660" width="11.85546875" bestFit="1" customWidth="1"/>
    <col min="6661" max="6661" width="12.7109375" bestFit="1" customWidth="1"/>
    <col min="6662" max="6662" width="12.140625" bestFit="1" customWidth="1"/>
    <col min="6663" max="6663" width="12.42578125" bestFit="1" customWidth="1"/>
    <col min="6664" max="6664" width="12.7109375" bestFit="1" customWidth="1"/>
    <col min="6665" max="6665" width="11.28515625" bestFit="1" customWidth="1"/>
    <col min="6666" max="6666" width="12.42578125" bestFit="1" customWidth="1"/>
    <col min="6667" max="6668" width="12.140625" bestFit="1" customWidth="1"/>
    <col min="6669" max="6670" width="12.42578125" bestFit="1" customWidth="1"/>
    <col min="6671" max="6671" width="13.5703125" bestFit="1" customWidth="1"/>
    <col min="6913" max="6913" width="11.42578125" customWidth="1"/>
    <col min="6914" max="6914" width="57" bestFit="1" customWidth="1"/>
    <col min="6915" max="6915" width="11.7109375" bestFit="1" customWidth="1"/>
    <col min="6916" max="6916" width="11.85546875" bestFit="1" customWidth="1"/>
    <col min="6917" max="6917" width="12.7109375" bestFit="1" customWidth="1"/>
    <col min="6918" max="6918" width="12.140625" bestFit="1" customWidth="1"/>
    <col min="6919" max="6919" width="12.42578125" bestFit="1" customWidth="1"/>
    <col min="6920" max="6920" width="12.7109375" bestFit="1" customWidth="1"/>
    <col min="6921" max="6921" width="11.28515625" bestFit="1" customWidth="1"/>
    <col min="6922" max="6922" width="12.42578125" bestFit="1" customWidth="1"/>
    <col min="6923" max="6924" width="12.140625" bestFit="1" customWidth="1"/>
    <col min="6925" max="6926" width="12.42578125" bestFit="1" customWidth="1"/>
    <col min="6927" max="6927" width="13.5703125" bestFit="1" customWidth="1"/>
    <col min="7169" max="7169" width="11.42578125" customWidth="1"/>
    <col min="7170" max="7170" width="57" bestFit="1" customWidth="1"/>
    <col min="7171" max="7171" width="11.7109375" bestFit="1" customWidth="1"/>
    <col min="7172" max="7172" width="11.85546875" bestFit="1" customWidth="1"/>
    <col min="7173" max="7173" width="12.7109375" bestFit="1" customWidth="1"/>
    <col min="7174" max="7174" width="12.140625" bestFit="1" customWidth="1"/>
    <col min="7175" max="7175" width="12.42578125" bestFit="1" customWidth="1"/>
    <col min="7176" max="7176" width="12.7109375" bestFit="1" customWidth="1"/>
    <col min="7177" max="7177" width="11.28515625" bestFit="1" customWidth="1"/>
    <col min="7178" max="7178" width="12.42578125" bestFit="1" customWidth="1"/>
    <col min="7179" max="7180" width="12.140625" bestFit="1" customWidth="1"/>
    <col min="7181" max="7182" width="12.42578125" bestFit="1" customWidth="1"/>
    <col min="7183" max="7183" width="13.5703125" bestFit="1" customWidth="1"/>
    <col min="7425" max="7425" width="11.42578125" customWidth="1"/>
    <col min="7426" max="7426" width="57" bestFit="1" customWidth="1"/>
    <col min="7427" max="7427" width="11.7109375" bestFit="1" customWidth="1"/>
    <col min="7428" max="7428" width="11.85546875" bestFit="1" customWidth="1"/>
    <col min="7429" max="7429" width="12.7109375" bestFit="1" customWidth="1"/>
    <col min="7430" max="7430" width="12.140625" bestFit="1" customWidth="1"/>
    <col min="7431" max="7431" width="12.42578125" bestFit="1" customWidth="1"/>
    <col min="7432" max="7432" width="12.7109375" bestFit="1" customWidth="1"/>
    <col min="7433" max="7433" width="11.28515625" bestFit="1" customWidth="1"/>
    <col min="7434" max="7434" width="12.42578125" bestFit="1" customWidth="1"/>
    <col min="7435" max="7436" width="12.140625" bestFit="1" customWidth="1"/>
    <col min="7437" max="7438" width="12.42578125" bestFit="1" customWidth="1"/>
    <col min="7439" max="7439" width="13.5703125" bestFit="1" customWidth="1"/>
    <col min="7681" max="7681" width="11.42578125" customWidth="1"/>
    <col min="7682" max="7682" width="57" bestFit="1" customWidth="1"/>
    <col min="7683" max="7683" width="11.7109375" bestFit="1" customWidth="1"/>
    <col min="7684" max="7684" width="11.85546875" bestFit="1" customWidth="1"/>
    <col min="7685" max="7685" width="12.7109375" bestFit="1" customWidth="1"/>
    <col min="7686" max="7686" width="12.140625" bestFit="1" customWidth="1"/>
    <col min="7687" max="7687" width="12.42578125" bestFit="1" customWidth="1"/>
    <col min="7688" max="7688" width="12.7109375" bestFit="1" customWidth="1"/>
    <col min="7689" max="7689" width="11.28515625" bestFit="1" customWidth="1"/>
    <col min="7690" max="7690" width="12.42578125" bestFit="1" customWidth="1"/>
    <col min="7691" max="7692" width="12.140625" bestFit="1" customWidth="1"/>
    <col min="7693" max="7694" width="12.42578125" bestFit="1" customWidth="1"/>
    <col min="7695" max="7695" width="13.5703125" bestFit="1" customWidth="1"/>
    <col min="7937" max="7937" width="11.42578125" customWidth="1"/>
    <col min="7938" max="7938" width="57" bestFit="1" customWidth="1"/>
    <col min="7939" max="7939" width="11.7109375" bestFit="1" customWidth="1"/>
    <col min="7940" max="7940" width="11.85546875" bestFit="1" customWidth="1"/>
    <col min="7941" max="7941" width="12.7109375" bestFit="1" customWidth="1"/>
    <col min="7942" max="7942" width="12.140625" bestFit="1" customWidth="1"/>
    <col min="7943" max="7943" width="12.42578125" bestFit="1" customWidth="1"/>
    <col min="7944" max="7944" width="12.7109375" bestFit="1" customWidth="1"/>
    <col min="7945" max="7945" width="11.28515625" bestFit="1" customWidth="1"/>
    <col min="7946" max="7946" width="12.42578125" bestFit="1" customWidth="1"/>
    <col min="7947" max="7948" width="12.140625" bestFit="1" customWidth="1"/>
    <col min="7949" max="7950" width="12.42578125" bestFit="1" customWidth="1"/>
    <col min="7951" max="7951" width="13.5703125" bestFit="1" customWidth="1"/>
    <col min="8193" max="8193" width="11.42578125" customWidth="1"/>
    <col min="8194" max="8194" width="57" bestFit="1" customWidth="1"/>
    <col min="8195" max="8195" width="11.7109375" bestFit="1" customWidth="1"/>
    <col min="8196" max="8196" width="11.85546875" bestFit="1" customWidth="1"/>
    <col min="8197" max="8197" width="12.7109375" bestFit="1" customWidth="1"/>
    <col min="8198" max="8198" width="12.140625" bestFit="1" customWidth="1"/>
    <col min="8199" max="8199" width="12.42578125" bestFit="1" customWidth="1"/>
    <col min="8200" max="8200" width="12.7109375" bestFit="1" customWidth="1"/>
    <col min="8201" max="8201" width="11.28515625" bestFit="1" customWidth="1"/>
    <col min="8202" max="8202" width="12.42578125" bestFit="1" customWidth="1"/>
    <col min="8203" max="8204" width="12.140625" bestFit="1" customWidth="1"/>
    <col min="8205" max="8206" width="12.42578125" bestFit="1" customWidth="1"/>
    <col min="8207" max="8207" width="13.5703125" bestFit="1" customWidth="1"/>
    <col min="8449" max="8449" width="11.42578125" customWidth="1"/>
    <col min="8450" max="8450" width="57" bestFit="1" customWidth="1"/>
    <col min="8451" max="8451" width="11.7109375" bestFit="1" customWidth="1"/>
    <col min="8452" max="8452" width="11.85546875" bestFit="1" customWidth="1"/>
    <col min="8453" max="8453" width="12.7109375" bestFit="1" customWidth="1"/>
    <col min="8454" max="8454" width="12.140625" bestFit="1" customWidth="1"/>
    <col min="8455" max="8455" width="12.42578125" bestFit="1" customWidth="1"/>
    <col min="8456" max="8456" width="12.7109375" bestFit="1" customWidth="1"/>
    <col min="8457" max="8457" width="11.28515625" bestFit="1" customWidth="1"/>
    <col min="8458" max="8458" width="12.42578125" bestFit="1" customWidth="1"/>
    <col min="8459" max="8460" width="12.140625" bestFit="1" customWidth="1"/>
    <col min="8461" max="8462" width="12.42578125" bestFit="1" customWidth="1"/>
    <col min="8463" max="8463" width="13.5703125" bestFit="1" customWidth="1"/>
    <col min="8705" max="8705" width="11.42578125" customWidth="1"/>
    <col min="8706" max="8706" width="57" bestFit="1" customWidth="1"/>
    <col min="8707" max="8707" width="11.7109375" bestFit="1" customWidth="1"/>
    <col min="8708" max="8708" width="11.85546875" bestFit="1" customWidth="1"/>
    <col min="8709" max="8709" width="12.7109375" bestFit="1" customWidth="1"/>
    <col min="8710" max="8710" width="12.140625" bestFit="1" customWidth="1"/>
    <col min="8711" max="8711" width="12.42578125" bestFit="1" customWidth="1"/>
    <col min="8712" max="8712" width="12.7109375" bestFit="1" customWidth="1"/>
    <col min="8713" max="8713" width="11.28515625" bestFit="1" customWidth="1"/>
    <col min="8714" max="8714" width="12.42578125" bestFit="1" customWidth="1"/>
    <col min="8715" max="8716" width="12.140625" bestFit="1" customWidth="1"/>
    <col min="8717" max="8718" width="12.42578125" bestFit="1" customWidth="1"/>
    <col min="8719" max="8719" width="13.5703125" bestFit="1" customWidth="1"/>
    <col min="8961" max="8961" width="11.42578125" customWidth="1"/>
    <col min="8962" max="8962" width="57" bestFit="1" customWidth="1"/>
    <col min="8963" max="8963" width="11.7109375" bestFit="1" customWidth="1"/>
    <col min="8964" max="8964" width="11.85546875" bestFit="1" customWidth="1"/>
    <col min="8965" max="8965" width="12.7109375" bestFit="1" customWidth="1"/>
    <col min="8966" max="8966" width="12.140625" bestFit="1" customWidth="1"/>
    <col min="8967" max="8967" width="12.42578125" bestFit="1" customWidth="1"/>
    <col min="8968" max="8968" width="12.7109375" bestFit="1" customWidth="1"/>
    <col min="8969" max="8969" width="11.28515625" bestFit="1" customWidth="1"/>
    <col min="8970" max="8970" width="12.42578125" bestFit="1" customWidth="1"/>
    <col min="8971" max="8972" width="12.140625" bestFit="1" customWidth="1"/>
    <col min="8973" max="8974" width="12.42578125" bestFit="1" customWidth="1"/>
    <col min="8975" max="8975" width="13.5703125" bestFit="1" customWidth="1"/>
    <col min="9217" max="9217" width="11.42578125" customWidth="1"/>
    <col min="9218" max="9218" width="57" bestFit="1" customWidth="1"/>
    <col min="9219" max="9219" width="11.7109375" bestFit="1" customWidth="1"/>
    <col min="9220" max="9220" width="11.85546875" bestFit="1" customWidth="1"/>
    <col min="9221" max="9221" width="12.7109375" bestFit="1" customWidth="1"/>
    <col min="9222" max="9222" width="12.140625" bestFit="1" customWidth="1"/>
    <col min="9223" max="9223" width="12.42578125" bestFit="1" customWidth="1"/>
    <col min="9224" max="9224" width="12.7109375" bestFit="1" customWidth="1"/>
    <col min="9225" max="9225" width="11.28515625" bestFit="1" customWidth="1"/>
    <col min="9226" max="9226" width="12.42578125" bestFit="1" customWidth="1"/>
    <col min="9227" max="9228" width="12.140625" bestFit="1" customWidth="1"/>
    <col min="9229" max="9230" width="12.42578125" bestFit="1" customWidth="1"/>
    <col min="9231" max="9231" width="13.5703125" bestFit="1" customWidth="1"/>
    <col min="9473" max="9473" width="11.42578125" customWidth="1"/>
    <col min="9474" max="9474" width="57" bestFit="1" customWidth="1"/>
    <col min="9475" max="9475" width="11.7109375" bestFit="1" customWidth="1"/>
    <col min="9476" max="9476" width="11.85546875" bestFit="1" customWidth="1"/>
    <col min="9477" max="9477" width="12.7109375" bestFit="1" customWidth="1"/>
    <col min="9478" max="9478" width="12.140625" bestFit="1" customWidth="1"/>
    <col min="9479" max="9479" width="12.42578125" bestFit="1" customWidth="1"/>
    <col min="9480" max="9480" width="12.7109375" bestFit="1" customWidth="1"/>
    <col min="9481" max="9481" width="11.28515625" bestFit="1" customWidth="1"/>
    <col min="9482" max="9482" width="12.42578125" bestFit="1" customWidth="1"/>
    <col min="9483" max="9484" width="12.140625" bestFit="1" customWidth="1"/>
    <col min="9485" max="9486" width="12.42578125" bestFit="1" customWidth="1"/>
    <col min="9487" max="9487" width="13.5703125" bestFit="1" customWidth="1"/>
    <col min="9729" max="9729" width="11.42578125" customWidth="1"/>
    <col min="9730" max="9730" width="57" bestFit="1" customWidth="1"/>
    <col min="9731" max="9731" width="11.7109375" bestFit="1" customWidth="1"/>
    <col min="9732" max="9732" width="11.85546875" bestFit="1" customWidth="1"/>
    <col min="9733" max="9733" width="12.7109375" bestFit="1" customWidth="1"/>
    <col min="9734" max="9734" width="12.140625" bestFit="1" customWidth="1"/>
    <col min="9735" max="9735" width="12.42578125" bestFit="1" customWidth="1"/>
    <col min="9736" max="9736" width="12.7109375" bestFit="1" customWidth="1"/>
    <col min="9737" max="9737" width="11.28515625" bestFit="1" customWidth="1"/>
    <col min="9738" max="9738" width="12.42578125" bestFit="1" customWidth="1"/>
    <col min="9739" max="9740" width="12.140625" bestFit="1" customWidth="1"/>
    <col min="9741" max="9742" width="12.42578125" bestFit="1" customWidth="1"/>
    <col min="9743" max="9743" width="13.5703125" bestFit="1" customWidth="1"/>
    <col min="9985" max="9985" width="11.42578125" customWidth="1"/>
    <col min="9986" max="9986" width="57" bestFit="1" customWidth="1"/>
    <col min="9987" max="9987" width="11.7109375" bestFit="1" customWidth="1"/>
    <col min="9988" max="9988" width="11.85546875" bestFit="1" customWidth="1"/>
    <col min="9989" max="9989" width="12.7109375" bestFit="1" customWidth="1"/>
    <col min="9990" max="9990" width="12.140625" bestFit="1" customWidth="1"/>
    <col min="9991" max="9991" width="12.42578125" bestFit="1" customWidth="1"/>
    <col min="9992" max="9992" width="12.7109375" bestFit="1" customWidth="1"/>
    <col min="9993" max="9993" width="11.28515625" bestFit="1" customWidth="1"/>
    <col min="9994" max="9994" width="12.42578125" bestFit="1" customWidth="1"/>
    <col min="9995" max="9996" width="12.140625" bestFit="1" customWidth="1"/>
    <col min="9997" max="9998" width="12.42578125" bestFit="1" customWidth="1"/>
    <col min="9999" max="9999" width="13.5703125" bestFit="1" customWidth="1"/>
    <col min="10241" max="10241" width="11.42578125" customWidth="1"/>
    <col min="10242" max="10242" width="57" bestFit="1" customWidth="1"/>
    <col min="10243" max="10243" width="11.7109375" bestFit="1" customWidth="1"/>
    <col min="10244" max="10244" width="11.85546875" bestFit="1" customWidth="1"/>
    <col min="10245" max="10245" width="12.7109375" bestFit="1" customWidth="1"/>
    <col min="10246" max="10246" width="12.140625" bestFit="1" customWidth="1"/>
    <col min="10247" max="10247" width="12.42578125" bestFit="1" customWidth="1"/>
    <col min="10248" max="10248" width="12.7109375" bestFit="1" customWidth="1"/>
    <col min="10249" max="10249" width="11.28515625" bestFit="1" customWidth="1"/>
    <col min="10250" max="10250" width="12.42578125" bestFit="1" customWidth="1"/>
    <col min="10251" max="10252" width="12.140625" bestFit="1" customWidth="1"/>
    <col min="10253" max="10254" width="12.42578125" bestFit="1" customWidth="1"/>
    <col min="10255" max="10255" width="13.5703125" bestFit="1" customWidth="1"/>
    <col min="10497" max="10497" width="11.42578125" customWidth="1"/>
    <col min="10498" max="10498" width="57" bestFit="1" customWidth="1"/>
    <col min="10499" max="10499" width="11.7109375" bestFit="1" customWidth="1"/>
    <col min="10500" max="10500" width="11.85546875" bestFit="1" customWidth="1"/>
    <col min="10501" max="10501" width="12.7109375" bestFit="1" customWidth="1"/>
    <col min="10502" max="10502" width="12.140625" bestFit="1" customWidth="1"/>
    <col min="10503" max="10503" width="12.42578125" bestFit="1" customWidth="1"/>
    <col min="10504" max="10504" width="12.7109375" bestFit="1" customWidth="1"/>
    <col min="10505" max="10505" width="11.28515625" bestFit="1" customWidth="1"/>
    <col min="10506" max="10506" width="12.42578125" bestFit="1" customWidth="1"/>
    <col min="10507" max="10508" width="12.140625" bestFit="1" customWidth="1"/>
    <col min="10509" max="10510" width="12.42578125" bestFit="1" customWidth="1"/>
    <col min="10511" max="10511" width="13.5703125" bestFit="1" customWidth="1"/>
    <col min="10753" max="10753" width="11.42578125" customWidth="1"/>
    <col min="10754" max="10754" width="57" bestFit="1" customWidth="1"/>
    <col min="10755" max="10755" width="11.7109375" bestFit="1" customWidth="1"/>
    <col min="10756" max="10756" width="11.85546875" bestFit="1" customWidth="1"/>
    <col min="10757" max="10757" width="12.7109375" bestFit="1" customWidth="1"/>
    <col min="10758" max="10758" width="12.140625" bestFit="1" customWidth="1"/>
    <col min="10759" max="10759" width="12.42578125" bestFit="1" customWidth="1"/>
    <col min="10760" max="10760" width="12.7109375" bestFit="1" customWidth="1"/>
    <col min="10761" max="10761" width="11.28515625" bestFit="1" customWidth="1"/>
    <col min="10762" max="10762" width="12.42578125" bestFit="1" customWidth="1"/>
    <col min="10763" max="10764" width="12.140625" bestFit="1" customWidth="1"/>
    <col min="10765" max="10766" width="12.42578125" bestFit="1" customWidth="1"/>
    <col min="10767" max="10767" width="13.5703125" bestFit="1" customWidth="1"/>
    <col min="11009" max="11009" width="11.42578125" customWidth="1"/>
    <col min="11010" max="11010" width="57" bestFit="1" customWidth="1"/>
    <col min="11011" max="11011" width="11.7109375" bestFit="1" customWidth="1"/>
    <col min="11012" max="11012" width="11.85546875" bestFit="1" customWidth="1"/>
    <col min="11013" max="11013" width="12.7109375" bestFit="1" customWidth="1"/>
    <col min="11014" max="11014" width="12.140625" bestFit="1" customWidth="1"/>
    <col min="11015" max="11015" width="12.42578125" bestFit="1" customWidth="1"/>
    <col min="11016" max="11016" width="12.7109375" bestFit="1" customWidth="1"/>
    <col min="11017" max="11017" width="11.28515625" bestFit="1" customWidth="1"/>
    <col min="11018" max="11018" width="12.42578125" bestFit="1" customWidth="1"/>
    <col min="11019" max="11020" width="12.140625" bestFit="1" customWidth="1"/>
    <col min="11021" max="11022" width="12.42578125" bestFit="1" customWidth="1"/>
    <col min="11023" max="11023" width="13.5703125" bestFit="1" customWidth="1"/>
    <col min="11265" max="11265" width="11.42578125" customWidth="1"/>
    <col min="11266" max="11266" width="57" bestFit="1" customWidth="1"/>
    <col min="11267" max="11267" width="11.7109375" bestFit="1" customWidth="1"/>
    <col min="11268" max="11268" width="11.85546875" bestFit="1" customWidth="1"/>
    <col min="11269" max="11269" width="12.7109375" bestFit="1" customWidth="1"/>
    <col min="11270" max="11270" width="12.140625" bestFit="1" customWidth="1"/>
    <col min="11271" max="11271" width="12.42578125" bestFit="1" customWidth="1"/>
    <col min="11272" max="11272" width="12.7109375" bestFit="1" customWidth="1"/>
    <col min="11273" max="11273" width="11.28515625" bestFit="1" customWidth="1"/>
    <col min="11274" max="11274" width="12.42578125" bestFit="1" customWidth="1"/>
    <col min="11275" max="11276" width="12.140625" bestFit="1" customWidth="1"/>
    <col min="11277" max="11278" width="12.42578125" bestFit="1" customWidth="1"/>
    <col min="11279" max="11279" width="13.5703125" bestFit="1" customWidth="1"/>
    <col min="11521" max="11521" width="11.42578125" customWidth="1"/>
    <col min="11522" max="11522" width="57" bestFit="1" customWidth="1"/>
    <col min="11523" max="11523" width="11.7109375" bestFit="1" customWidth="1"/>
    <col min="11524" max="11524" width="11.85546875" bestFit="1" customWidth="1"/>
    <col min="11525" max="11525" width="12.7109375" bestFit="1" customWidth="1"/>
    <col min="11526" max="11526" width="12.140625" bestFit="1" customWidth="1"/>
    <col min="11527" max="11527" width="12.42578125" bestFit="1" customWidth="1"/>
    <col min="11528" max="11528" width="12.7109375" bestFit="1" customWidth="1"/>
    <col min="11529" max="11529" width="11.28515625" bestFit="1" customWidth="1"/>
    <col min="11530" max="11530" width="12.42578125" bestFit="1" customWidth="1"/>
    <col min="11531" max="11532" width="12.140625" bestFit="1" customWidth="1"/>
    <col min="11533" max="11534" width="12.42578125" bestFit="1" customWidth="1"/>
    <col min="11535" max="11535" width="13.5703125" bestFit="1" customWidth="1"/>
    <col min="11777" max="11777" width="11.42578125" customWidth="1"/>
    <col min="11778" max="11778" width="57" bestFit="1" customWidth="1"/>
    <col min="11779" max="11779" width="11.7109375" bestFit="1" customWidth="1"/>
    <col min="11780" max="11780" width="11.85546875" bestFit="1" customWidth="1"/>
    <col min="11781" max="11781" width="12.7109375" bestFit="1" customWidth="1"/>
    <col min="11782" max="11782" width="12.140625" bestFit="1" customWidth="1"/>
    <col min="11783" max="11783" width="12.42578125" bestFit="1" customWidth="1"/>
    <col min="11784" max="11784" width="12.7109375" bestFit="1" customWidth="1"/>
    <col min="11785" max="11785" width="11.28515625" bestFit="1" customWidth="1"/>
    <col min="11786" max="11786" width="12.42578125" bestFit="1" customWidth="1"/>
    <col min="11787" max="11788" width="12.140625" bestFit="1" customWidth="1"/>
    <col min="11789" max="11790" width="12.42578125" bestFit="1" customWidth="1"/>
    <col min="11791" max="11791" width="13.5703125" bestFit="1" customWidth="1"/>
    <col min="12033" max="12033" width="11.42578125" customWidth="1"/>
    <col min="12034" max="12034" width="57" bestFit="1" customWidth="1"/>
    <col min="12035" max="12035" width="11.7109375" bestFit="1" customWidth="1"/>
    <col min="12036" max="12036" width="11.85546875" bestFit="1" customWidth="1"/>
    <col min="12037" max="12037" width="12.7109375" bestFit="1" customWidth="1"/>
    <col min="12038" max="12038" width="12.140625" bestFit="1" customWidth="1"/>
    <col min="12039" max="12039" width="12.42578125" bestFit="1" customWidth="1"/>
    <col min="12040" max="12040" width="12.7109375" bestFit="1" customWidth="1"/>
    <col min="12041" max="12041" width="11.28515625" bestFit="1" customWidth="1"/>
    <col min="12042" max="12042" width="12.42578125" bestFit="1" customWidth="1"/>
    <col min="12043" max="12044" width="12.140625" bestFit="1" customWidth="1"/>
    <col min="12045" max="12046" width="12.42578125" bestFit="1" customWidth="1"/>
    <col min="12047" max="12047" width="13.5703125" bestFit="1" customWidth="1"/>
    <col min="12289" max="12289" width="11.42578125" customWidth="1"/>
    <col min="12290" max="12290" width="57" bestFit="1" customWidth="1"/>
    <col min="12291" max="12291" width="11.7109375" bestFit="1" customWidth="1"/>
    <col min="12292" max="12292" width="11.85546875" bestFit="1" customWidth="1"/>
    <col min="12293" max="12293" width="12.7109375" bestFit="1" customWidth="1"/>
    <col min="12294" max="12294" width="12.140625" bestFit="1" customWidth="1"/>
    <col min="12295" max="12295" width="12.42578125" bestFit="1" customWidth="1"/>
    <col min="12296" max="12296" width="12.7109375" bestFit="1" customWidth="1"/>
    <col min="12297" max="12297" width="11.28515625" bestFit="1" customWidth="1"/>
    <col min="12298" max="12298" width="12.42578125" bestFit="1" customWidth="1"/>
    <col min="12299" max="12300" width="12.140625" bestFit="1" customWidth="1"/>
    <col min="12301" max="12302" width="12.42578125" bestFit="1" customWidth="1"/>
    <col min="12303" max="12303" width="13.5703125" bestFit="1" customWidth="1"/>
    <col min="12545" max="12545" width="11.42578125" customWidth="1"/>
    <col min="12546" max="12546" width="57" bestFit="1" customWidth="1"/>
    <col min="12547" max="12547" width="11.7109375" bestFit="1" customWidth="1"/>
    <col min="12548" max="12548" width="11.85546875" bestFit="1" customWidth="1"/>
    <col min="12549" max="12549" width="12.7109375" bestFit="1" customWidth="1"/>
    <col min="12550" max="12550" width="12.140625" bestFit="1" customWidth="1"/>
    <col min="12551" max="12551" width="12.42578125" bestFit="1" customWidth="1"/>
    <col min="12552" max="12552" width="12.7109375" bestFit="1" customWidth="1"/>
    <col min="12553" max="12553" width="11.28515625" bestFit="1" customWidth="1"/>
    <col min="12554" max="12554" width="12.42578125" bestFit="1" customWidth="1"/>
    <col min="12555" max="12556" width="12.140625" bestFit="1" customWidth="1"/>
    <col min="12557" max="12558" width="12.42578125" bestFit="1" customWidth="1"/>
    <col min="12559" max="12559" width="13.5703125" bestFit="1" customWidth="1"/>
    <col min="12801" max="12801" width="11.42578125" customWidth="1"/>
    <col min="12802" max="12802" width="57" bestFit="1" customWidth="1"/>
    <col min="12803" max="12803" width="11.7109375" bestFit="1" customWidth="1"/>
    <col min="12804" max="12804" width="11.85546875" bestFit="1" customWidth="1"/>
    <col min="12805" max="12805" width="12.7109375" bestFit="1" customWidth="1"/>
    <col min="12806" max="12806" width="12.140625" bestFit="1" customWidth="1"/>
    <col min="12807" max="12807" width="12.42578125" bestFit="1" customWidth="1"/>
    <col min="12808" max="12808" width="12.7109375" bestFit="1" customWidth="1"/>
    <col min="12809" max="12809" width="11.28515625" bestFit="1" customWidth="1"/>
    <col min="12810" max="12810" width="12.42578125" bestFit="1" customWidth="1"/>
    <col min="12811" max="12812" width="12.140625" bestFit="1" customWidth="1"/>
    <col min="12813" max="12814" width="12.42578125" bestFit="1" customWidth="1"/>
    <col min="12815" max="12815" width="13.5703125" bestFit="1" customWidth="1"/>
    <col min="13057" max="13057" width="11.42578125" customWidth="1"/>
    <col min="13058" max="13058" width="57" bestFit="1" customWidth="1"/>
    <col min="13059" max="13059" width="11.7109375" bestFit="1" customWidth="1"/>
    <col min="13060" max="13060" width="11.85546875" bestFit="1" customWidth="1"/>
    <col min="13061" max="13061" width="12.7109375" bestFit="1" customWidth="1"/>
    <col min="13062" max="13062" width="12.140625" bestFit="1" customWidth="1"/>
    <col min="13063" max="13063" width="12.42578125" bestFit="1" customWidth="1"/>
    <col min="13064" max="13064" width="12.7109375" bestFit="1" customWidth="1"/>
    <col min="13065" max="13065" width="11.28515625" bestFit="1" customWidth="1"/>
    <col min="13066" max="13066" width="12.42578125" bestFit="1" customWidth="1"/>
    <col min="13067" max="13068" width="12.140625" bestFit="1" customWidth="1"/>
    <col min="13069" max="13070" width="12.42578125" bestFit="1" customWidth="1"/>
    <col min="13071" max="13071" width="13.5703125" bestFit="1" customWidth="1"/>
    <col min="13313" max="13313" width="11.42578125" customWidth="1"/>
    <col min="13314" max="13314" width="57" bestFit="1" customWidth="1"/>
    <col min="13315" max="13315" width="11.7109375" bestFit="1" customWidth="1"/>
    <col min="13316" max="13316" width="11.85546875" bestFit="1" customWidth="1"/>
    <col min="13317" max="13317" width="12.7109375" bestFit="1" customWidth="1"/>
    <col min="13318" max="13318" width="12.140625" bestFit="1" customWidth="1"/>
    <col min="13319" max="13319" width="12.42578125" bestFit="1" customWidth="1"/>
    <col min="13320" max="13320" width="12.7109375" bestFit="1" customWidth="1"/>
    <col min="13321" max="13321" width="11.28515625" bestFit="1" customWidth="1"/>
    <col min="13322" max="13322" width="12.42578125" bestFit="1" customWidth="1"/>
    <col min="13323" max="13324" width="12.140625" bestFit="1" customWidth="1"/>
    <col min="13325" max="13326" width="12.42578125" bestFit="1" customWidth="1"/>
    <col min="13327" max="13327" width="13.5703125" bestFit="1" customWidth="1"/>
    <col min="13569" max="13569" width="11.42578125" customWidth="1"/>
    <col min="13570" max="13570" width="57" bestFit="1" customWidth="1"/>
    <col min="13571" max="13571" width="11.7109375" bestFit="1" customWidth="1"/>
    <col min="13572" max="13572" width="11.85546875" bestFit="1" customWidth="1"/>
    <col min="13573" max="13573" width="12.7109375" bestFit="1" customWidth="1"/>
    <col min="13574" max="13574" width="12.140625" bestFit="1" customWidth="1"/>
    <col min="13575" max="13575" width="12.42578125" bestFit="1" customWidth="1"/>
    <col min="13576" max="13576" width="12.7109375" bestFit="1" customWidth="1"/>
    <col min="13577" max="13577" width="11.28515625" bestFit="1" customWidth="1"/>
    <col min="13578" max="13578" width="12.42578125" bestFit="1" customWidth="1"/>
    <col min="13579" max="13580" width="12.140625" bestFit="1" customWidth="1"/>
    <col min="13581" max="13582" width="12.42578125" bestFit="1" customWidth="1"/>
    <col min="13583" max="13583" width="13.5703125" bestFit="1" customWidth="1"/>
    <col min="13825" max="13825" width="11.42578125" customWidth="1"/>
    <col min="13826" max="13826" width="57" bestFit="1" customWidth="1"/>
    <col min="13827" max="13827" width="11.7109375" bestFit="1" customWidth="1"/>
    <col min="13828" max="13828" width="11.85546875" bestFit="1" customWidth="1"/>
    <col min="13829" max="13829" width="12.7109375" bestFit="1" customWidth="1"/>
    <col min="13830" max="13830" width="12.140625" bestFit="1" customWidth="1"/>
    <col min="13831" max="13831" width="12.42578125" bestFit="1" customWidth="1"/>
    <col min="13832" max="13832" width="12.7109375" bestFit="1" customWidth="1"/>
    <col min="13833" max="13833" width="11.28515625" bestFit="1" customWidth="1"/>
    <col min="13834" max="13834" width="12.42578125" bestFit="1" customWidth="1"/>
    <col min="13835" max="13836" width="12.140625" bestFit="1" customWidth="1"/>
    <col min="13837" max="13838" width="12.42578125" bestFit="1" customWidth="1"/>
    <col min="13839" max="13839" width="13.5703125" bestFit="1" customWidth="1"/>
    <col min="14081" max="14081" width="11.42578125" customWidth="1"/>
    <col min="14082" max="14082" width="57" bestFit="1" customWidth="1"/>
    <col min="14083" max="14083" width="11.7109375" bestFit="1" customWidth="1"/>
    <col min="14084" max="14084" width="11.85546875" bestFit="1" customWidth="1"/>
    <col min="14085" max="14085" width="12.7109375" bestFit="1" customWidth="1"/>
    <col min="14086" max="14086" width="12.140625" bestFit="1" customWidth="1"/>
    <col min="14087" max="14087" width="12.42578125" bestFit="1" customWidth="1"/>
    <col min="14088" max="14088" width="12.7109375" bestFit="1" customWidth="1"/>
    <col min="14089" max="14089" width="11.28515625" bestFit="1" customWidth="1"/>
    <col min="14090" max="14090" width="12.42578125" bestFit="1" customWidth="1"/>
    <col min="14091" max="14092" width="12.140625" bestFit="1" customWidth="1"/>
    <col min="14093" max="14094" width="12.42578125" bestFit="1" customWidth="1"/>
    <col min="14095" max="14095" width="13.5703125" bestFit="1" customWidth="1"/>
    <col min="14337" max="14337" width="11.42578125" customWidth="1"/>
    <col min="14338" max="14338" width="57" bestFit="1" customWidth="1"/>
    <col min="14339" max="14339" width="11.7109375" bestFit="1" customWidth="1"/>
    <col min="14340" max="14340" width="11.85546875" bestFit="1" customWidth="1"/>
    <col min="14341" max="14341" width="12.7109375" bestFit="1" customWidth="1"/>
    <col min="14342" max="14342" width="12.140625" bestFit="1" customWidth="1"/>
    <col min="14343" max="14343" width="12.42578125" bestFit="1" customWidth="1"/>
    <col min="14344" max="14344" width="12.7109375" bestFit="1" customWidth="1"/>
    <col min="14345" max="14345" width="11.28515625" bestFit="1" customWidth="1"/>
    <col min="14346" max="14346" width="12.42578125" bestFit="1" customWidth="1"/>
    <col min="14347" max="14348" width="12.140625" bestFit="1" customWidth="1"/>
    <col min="14349" max="14350" width="12.42578125" bestFit="1" customWidth="1"/>
    <col min="14351" max="14351" width="13.5703125" bestFit="1" customWidth="1"/>
    <col min="14593" max="14593" width="11.42578125" customWidth="1"/>
    <col min="14594" max="14594" width="57" bestFit="1" customWidth="1"/>
    <col min="14595" max="14595" width="11.7109375" bestFit="1" customWidth="1"/>
    <col min="14596" max="14596" width="11.85546875" bestFit="1" customWidth="1"/>
    <col min="14597" max="14597" width="12.7109375" bestFit="1" customWidth="1"/>
    <col min="14598" max="14598" width="12.140625" bestFit="1" customWidth="1"/>
    <col min="14599" max="14599" width="12.42578125" bestFit="1" customWidth="1"/>
    <col min="14600" max="14600" width="12.7109375" bestFit="1" customWidth="1"/>
    <col min="14601" max="14601" width="11.28515625" bestFit="1" customWidth="1"/>
    <col min="14602" max="14602" width="12.42578125" bestFit="1" customWidth="1"/>
    <col min="14603" max="14604" width="12.140625" bestFit="1" customWidth="1"/>
    <col min="14605" max="14606" width="12.42578125" bestFit="1" customWidth="1"/>
    <col min="14607" max="14607" width="13.5703125" bestFit="1" customWidth="1"/>
    <col min="14849" max="14849" width="11.42578125" customWidth="1"/>
    <col min="14850" max="14850" width="57" bestFit="1" customWidth="1"/>
    <col min="14851" max="14851" width="11.7109375" bestFit="1" customWidth="1"/>
    <col min="14852" max="14852" width="11.85546875" bestFit="1" customWidth="1"/>
    <col min="14853" max="14853" width="12.7109375" bestFit="1" customWidth="1"/>
    <col min="14854" max="14854" width="12.140625" bestFit="1" customWidth="1"/>
    <col min="14855" max="14855" width="12.42578125" bestFit="1" customWidth="1"/>
    <col min="14856" max="14856" width="12.7109375" bestFit="1" customWidth="1"/>
    <col min="14857" max="14857" width="11.28515625" bestFit="1" customWidth="1"/>
    <col min="14858" max="14858" width="12.42578125" bestFit="1" customWidth="1"/>
    <col min="14859" max="14860" width="12.140625" bestFit="1" customWidth="1"/>
    <col min="14861" max="14862" width="12.42578125" bestFit="1" customWidth="1"/>
    <col min="14863" max="14863" width="13.5703125" bestFit="1" customWidth="1"/>
    <col min="15105" max="15105" width="11.42578125" customWidth="1"/>
    <col min="15106" max="15106" width="57" bestFit="1" customWidth="1"/>
    <col min="15107" max="15107" width="11.7109375" bestFit="1" customWidth="1"/>
    <col min="15108" max="15108" width="11.85546875" bestFit="1" customWidth="1"/>
    <col min="15109" max="15109" width="12.7109375" bestFit="1" customWidth="1"/>
    <col min="15110" max="15110" width="12.140625" bestFit="1" customWidth="1"/>
    <col min="15111" max="15111" width="12.42578125" bestFit="1" customWidth="1"/>
    <col min="15112" max="15112" width="12.7109375" bestFit="1" customWidth="1"/>
    <col min="15113" max="15113" width="11.28515625" bestFit="1" customWidth="1"/>
    <col min="15114" max="15114" width="12.42578125" bestFit="1" customWidth="1"/>
    <col min="15115" max="15116" width="12.140625" bestFit="1" customWidth="1"/>
    <col min="15117" max="15118" width="12.42578125" bestFit="1" customWidth="1"/>
    <col min="15119" max="15119" width="13.5703125" bestFit="1" customWidth="1"/>
    <col min="15361" max="15361" width="11.42578125" customWidth="1"/>
    <col min="15362" max="15362" width="57" bestFit="1" customWidth="1"/>
    <col min="15363" max="15363" width="11.7109375" bestFit="1" customWidth="1"/>
    <col min="15364" max="15364" width="11.85546875" bestFit="1" customWidth="1"/>
    <col min="15365" max="15365" width="12.7109375" bestFit="1" customWidth="1"/>
    <col min="15366" max="15366" width="12.140625" bestFit="1" customWidth="1"/>
    <col min="15367" max="15367" width="12.42578125" bestFit="1" customWidth="1"/>
    <col min="15368" max="15368" width="12.7109375" bestFit="1" customWidth="1"/>
    <col min="15369" max="15369" width="11.28515625" bestFit="1" customWidth="1"/>
    <col min="15370" max="15370" width="12.42578125" bestFit="1" customWidth="1"/>
    <col min="15371" max="15372" width="12.140625" bestFit="1" customWidth="1"/>
    <col min="15373" max="15374" width="12.42578125" bestFit="1" customWidth="1"/>
    <col min="15375" max="15375" width="13.5703125" bestFit="1" customWidth="1"/>
    <col min="15617" max="15617" width="11.42578125" customWidth="1"/>
    <col min="15618" max="15618" width="57" bestFit="1" customWidth="1"/>
    <col min="15619" max="15619" width="11.7109375" bestFit="1" customWidth="1"/>
    <col min="15620" max="15620" width="11.85546875" bestFit="1" customWidth="1"/>
    <col min="15621" max="15621" width="12.7109375" bestFit="1" customWidth="1"/>
    <col min="15622" max="15622" width="12.140625" bestFit="1" customWidth="1"/>
    <col min="15623" max="15623" width="12.42578125" bestFit="1" customWidth="1"/>
    <col min="15624" max="15624" width="12.7109375" bestFit="1" customWidth="1"/>
    <col min="15625" max="15625" width="11.28515625" bestFit="1" customWidth="1"/>
    <col min="15626" max="15626" width="12.42578125" bestFit="1" customWidth="1"/>
    <col min="15627" max="15628" width="12.140625" bestFit="1" customWidth="1"/>
    <col min="15629" max="15630" width="12.42578125" bestFit="1" customWidth="1"/>
    <col min="15631" max="15631" width="13.5703125" bestFit="1" customWidth="1"/>
    <col min="15873" max="15873" width="11.42578125" customWidth="1"/>
    <col min="15874" max="15874" width="57" bestFit="1" customWidth="1"/>
    <col min="15875" max="15875" width="11.7109375" bestFit="1" customWidth="1"/>
    <col min="15876" max="15876" width="11.85546875" bestFit="1" customWidth="1"/>
    <col min="15877" max="15877" width="12.7109375" bestFit="1" customWidth="1"/>
    <col min="15878" max="15878" width="12.140625" bestFit="1" customWidth="1"/>
    <col min="15879" max="15879" width="12.42578125" bestFit="1" customWidth="1"/>
    <col min="15880" max="15880" width="12.7109375" bestFit="1" customWidth="1"/>
    <col min="15881" max="15881" width="11.28515625" bestFit="1" customWidth="1"/>
    <col min="15882" max="15882" width="12.42578125" bestFit="1" customWidth="1"/>
    <col min="15883" max="15884" width="12.140625" bestFit="1" customWidth="1"/>
    <col min="15885" max="15886" width="12.42578125" bestFit="1" customWidth="1"/>
    <col min="15887" max="15887" width="13.5703125" bestFit="1" customWidth="1"/>
    <col min="16129" max="16129" width="11.42578125" customWidth="1"/>
    <col min="16130" max="16130" width="57" bestFit="1" customWidth="1"/>
    <col min="16131" max="16131" width="11.7109375" bestFit="1" customWidth="1"/>
    <col min="16132" max="16132" width="11.85546875" bestFit="1" customWidth="1"/>
    <col min="16133" max="16133" width="12.7109375" bestFit="1" customWidth="1"/>
    <col min="16134" max="16134" width="12.140625" bestFit="1" customWidth="1"/>
    <col min="16135" max="16135" width="12.42578125" bestFit="1" customWidth="1"/>
    <col min="16136" max="16136" width="12.7109375" bestFit="1" customWidth="1"/>
    <col min="16137" max="16137" width="11.28515625" bestFit="1" customWidth="1"/>
    <col min="16138" max="16138" width="12.42578125" bestFit="1" customWidth="1"/>
    <col min="16139" max="16140" width="12.140625" bestFit="1" customWidth="1"/>
    <col min="16141" max="16142" width="12.42578125" bestFit="1" customWidth="1"/>
    <col min="16143" max="16143" width="13.5703125" bestFit="1" customWidth="1"/>
  </cols>
  <sheetData>
    <row r="2" spans="1:15" ht="19.5" x14ac:dyDescent="0.3">
      <c r="A2" s="4" t="s">
        <v>1238</v>
      </c>
    </row>
    <row r="3" spans="1:15" ht="18.75" customHeight="1" thickBot="1" x14ac:dyDescent="0.25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40"/>
    </row>
    <row r="4" spans="1:15" ht="42.75" customHeight="1" thickTop="1" thickBot="1" x14ac:dyDescent="0.25">
      <c r="A4" s="10" t="s">
        <v>0</v>
      </c>
      <c r="B4" s="11" t="s">
        <v>1</v>
      </c>
      <c r="C4" s="41">
        <v>43831</v>
      </c>
      <c r="D4" s="41">
        <v>43862</v>
      </c>
      <c r="E4" s="41">
        <v>43891</v>
      </c>
      <c r="F4" s="41">
        <v>43922</v>
      </c>
      <c r="G4" s="41">
        <v>43952</v>
      </c>
      <c r="H4" s="41">
        <v>43983</v>
      </c>
      <c r="I4" s="41">
        <v>44013</v>
      </c>
      <c r="J4" s="41">
        <v>44044</v>
      </c>
      <c r="K4" s="41">
        <v>44075</v>
      </c>
      <c r="L4" s="41">
        <v>44105</v>
      </c>
      <c r="M4" s="41">
        <v>44136</v>
      </c>
      <c r="N4" s="41">
        <v>44166</v>
      </c>
      <c r="O4" s="42" t="s">
        <v>804</v>
      </c>
    </row>
    <row r="5" spans="1:15" ht="13.5" thickTop="1" x14ac:dyDescent="0.2">
      <c r="A5" s="19"/>
      <c r="B5" s="20"/>
      <c r="C5" s="17">
        <v>0</v>
      </c>
      <c r="D5" s="16">
        <v>275042.88</v>
      </c>
      <c r="E5" s="17"/>
      <c r="F5" s="17"/>
      <c r="G5" s="17"/>
      <c r="H5" s="17"/>
      <c r="I5" s="17"/>
      <c r="J5" s="17"/>
      <c r="K5" s="17"/>
      <c r="L5" s="17"/>
      <c r="M5" s="16">
        <v>468619.71</v>
      </c>
      <c r="N5" s="16">
        <f>SUM(N7:N26)</f>
        <v>405324.77999999997</v>
      </c>
      <c r="O5" s="43">
        <f>SUM(C5:N5)+O55</f>
        <v>1149400.27</v>
      </c>
    </row>
    <row r="6" spans="1:15" x14ac:dyDescent="0.2">
      <c r="A6" s="19">
        <v>116085</v>
      </c>
      <c r="B6" s="20" t="s">
        <v>3</v>
      </c>
      <c r="C6" s="17">
        <v>0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43">
        <f t="shared" ref="O6:O26" si="0">SUM(C6:N6)</f>
        <v>0</v>
      </c>
    </row>
    <row r="7" spans="1:15" x14ac:dyDescent="0.2">
      <c r="A7" s="19">
        <v>116090</v>
      </c>
      <c r="B7" s="20" t="s">
        <v>4</v>
      </c>
      <c r="C7" s="17">
        <v>0</v>
      </c>
      <c r="D7" s="17">
        <v>163058.56</v>
      </c>
      <c r="E7" s="17"/>
      <c r="F7" s="17"/>
      <c r="G7" s="17"/>
      <c r="H7" s="17"/>
      <c r="I7" s="17"/>
      <c r="J7" s="17"/>
      <c r="K7" s="17"/>
      <c r="L7" s="17"/>
      <c r="M7" s="17">
        <v>234672.31</v>
      </c>
      <c r="N7" s="17">
        <f>68846.72+5285.16+5850+926.4+53877.03+7218.32+134702.33+25175.94</f>
        <v>301881.89999999997</v>
      </c>
      <c r="O7" s="43">
        <f t="shared" si="0"/>
        <v>699612.77</v>
      </c>
    </row>
    <row r="8" spans="1:15" x14ac:dyDescent="0.2">
      <c r="A8" s="19">
        <v>116095</v>
      </c>
      <c r="B8" s="20" t="s">
        <v>5</v>
      </c>
      <c r="C8" s="17">
        <v>0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43">
        <f t="shared" si="0"/>
        <v>0</v>
      </c>
    </row>
    <row r="9" spans="1:15" x14ac:dyDescent="0.2">
      <c r="A9" s="19">
        <v>116097</v>
      </c>
      <c r="B9" s="20" t="s">
        <v>6</v>
      </c>
      <c r="C9" s="17">
        <v>0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43">
        <f t="shared" si="0"/>
        <v>0</v>
      </c>
    </row>
    <row r="10" spans="1:15" x14ac:dyDescent="0.2">
      <c r="A10" s="19">
        <v>117095</v>
      </c>
      <c r="B10" s="20" t="s">
        <v>7</v>
      </c>
      <c r="C10" s="17">
        <v>0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43">
        <f t="shared" si="0"/>
        <v>0</v>
      </c>
    </row>
    <row r="11" spans="1:15" x14ac:dyDescent="0.2">
      <c r="A11" s="19">
        <v>118110</v>
      </c>
      <c r="B11" s="20" t="s">
        <v>8</v>
      </c>
      <c r="C11" s="17">
        <v>0</v>
      </c>
      <c r="D11" s="17">
        <v>64765.79</v>
      </c>
      <c r="E11" s="17"/>
      <c r="F11" s="17"/>
      <c r="G11" s="17"/>
      <c r="H11" s="17"/>
      <c r="I11" s="17"/>
      <c r="J11" s="17"/>
      <c r="K11" s="17"/>
      <c r="L11" s="17"/>
      <c r="M11" s="17">
        <v>17856.05</v>
      </c>
      <c r="N11" s="17">
        <f>565.25+7560</f>
        <v>8125.25</v>
      </c>
      <c r="O11" s="43">
        <f t="shared" si="0"/>
        <v>90747.09</v>
      </c>
    </row>
    <row r="12" spans="1:15" x14ac:dyDescent="0.2">
      <c r="A12" s="19">
        <v>118115</v>
      </c>
      <c r="B12" s="20" t="s">
        <v>9</v>
      </c>
      <c r="C12" s="17">
        <v>0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43">
        <f t="shared" si="0"/>
        <v>0</v>
      </c>
    </row>
    <row r="13" spans="1:15" x14ac:dyDescent="0.2">
      <c r="A13" s="19">
        <v>118135</v>
      </c>
      <c r="B13" s="20" t="s">
        <v>59</v>
      </c>
      <c r="C13" s="17">
        <v>0</v>
      </c>
      <c r="D13" s="17"/>
      <c r="E13" s="17"/>
      <c r="F13" s="17"/>
      <c r="G13" s="17"/>
      <c r="H13" s="17"/>
      <c r="I13" s="17"/>
      <c r="J13" s="17"/>
      <c r="K13" s="17"/>
      <c r="L13" s="17"/>
      <c r="M13" s="17">
        <v>102341.15</v>
      </c>
      <c r="N13" s="17">
        <v>17675</v>
      </c>
      <c r="O13" s="43">
        <f t="shared" si="0"/>
        <v>120016.15</v>
      </c>
    </row>
    <row r="14" spans="1:15" x14ac:dyDescent="0.2">
      <c r="A14" s="19">
        <v>118140</v>
      </c>
      <c r="B14" s="20" t="s">
        <v>12</v>
      </c>
      <c r="C14" s="17">
        <v>0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43">
        <f t="shared" si="0"/>
        <v>0</v>
      </c>
    </row>
    <row r="15" spans="1:15" x14ac:dyDescent="0.2">
      <c r="A15" s="19">
        <v>118150</v>
      </c>
      <c r="B15" s="20" t="s">
        <v>13</v>
      </c>
      <c r="C15" s="17">
        <v>0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43">
        <f t="shared" si="0"/>
        <v>0</v>
      </c>
    </row>
    <row r="16" spans="1:15" x14ac:dyDescent="0.2">
      <c r="A16" s="19">
        <v>118155</v>
      </c>
      <c r="B16" s="20" t="s">
        <v>14</v>
      </c>
      <c r="C16" s="17">
        <v>0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43">
        <f t="shared" si="0"/>
        <v>0</v>
      </c>
    </row>
    <row r="17" spans="1:15" x14ac:dyDescent="0.2">
      <c r="A17" s="19">
        <v>119155</v>
      </c>
      <c r="B17" s="20" t="s">
        <v>15</v>
      </c>
      <c r="C17" s="17"/>
      <c r="D17" s="17">
        <v>29549.13</v>
      </c>
      <c r="E17" s="44"/>
      <c r="F17" s="44"/>
      <c r="G17" s="44"/>
      <c r="H17" s="44"/>
      <c r="I17" s="17"/>
      <c r="J17" s="17"/>
      <c r="K17" s="17"/>
      <c r="L17" s="44"/>
      <c r="M17" s="17">
        <v>113750.2</v>
      </c>
      <c r="N17" s="17">
        <f>46159.75+19008+9180.88</f>
        <v>74348.63</v>
      </c>
      <c r="O17" s="43">
        <f t="shared" si="0"/>
        <v>217647.96</v>
      </c>
    </row>
    <row r="18" spans="1:15" x14ac:dyDescent="0.2">
      <c r="A18" s="19">
        <v>119160</v>
      </c>
      <c r="B18" s="20" t="s">
        <v>16</v>
      </c>
      <c r="C18" s="17"/>
      <c r="D18" s="44"/>
      <c r="E18" s="44"/>
      <c r="F18" s="44"/>
      <c r="G18" s="44"/>
      <c r="H18" s="44"/>
      <c r="I18" s="17"/>
      <c r="J18" s="17"/>
      <c r="K18" s="44"/>
      <c r="L18" s="44"/>
      <c r="M18" s="17"/>
      <c r="N18" s="17"/>
      <c r="O18" s="43">
        <f t="shared" si="0"/>
        <v>0</v>
      </c>
    </row>
    <row r="19" spans="1:15" x14ac:dyDescent="0.2">
      <c r="A19" s="19">
        <v>119162</v>
      </c>
      <c r="B19" s="20" t="s">
        <v>17</v>
      </c>
      <c r="C19" s="17"/>
      <c r="D19" s="44"/>
      <c r="E19" s="44"/>
      <c r="F19" s="44"/>
      <c r="G19" s="44"/>
      <c r="H19" s="44"/>
      <c r="I19" s="17"/>
      <c r="J19" s="17"/>
      <c r="K19" s="44"/>
      <c r="L19" s="44"/>
      <c r="M19" s="17"/>
      <c r="N19" s="17"/>
      <c r="O19" s="43">
        <f t="shared" si="0"/>
        <v>0</v>
      </c>
    </row>
    <row r="20" spans="1:15" x14ac:dyDescent="0.2">
      <c r="A20" s="19">
        <v>120185</v>
      </c>
      <c r="B20" s="20" t="s">
        <v>18</v>
      </c>
      <c r="C20" s="17"/>
      <c r="D20" s="44"/>
      <c r="E20" s="44"/>
      <c r="F20" s="44"/>
      <c r="G20" s="44"/>
      <c r="H20" s="44"/>
      <c r="I20" s="17"/>
      <c r="J20" s="17"/>
      <c r="K20" s="44"/>
      <c r="L20" s="44"/>
      <c r="M20" s="17"/>
      <c r="N20" s="17"/>
      <c r="O20" s="43">
        <f t="shared" si="0"/>
        <v>0</v>
      </c>
    </row>
    <row r="21" spans="1:15" x14ac:dyDescent="0.2">
      <c r="A21" s="19">
        <v>122200</v>
      </c>
      <c r="B21" s="20" t="s">
        <v>19</v>
      </c>
      <c r="C21" s="17"/>
      <c r="D21" s="44"/>
      <c r="E21" s="44"/>
      <c r="F21" s="44"/>
      <c r="G21" s="44"/>
      <c r="H21" s="44"/>
      <c r="I21" s="17"/>
      <c r="J21" s="17"/>
      <c r="K21" s="44"/>
      <c r="L21" s="44"/>
      <c r="M21" s="17"/>
      <c r="N21" s="17"/>
      <c r="O21" s="43">
        <f t="shared" si="0"/>
        <v>0</v>
      </c>
    </row>
    <row r="22" spans="1:15" x14ac:dyDescent="0.2">
      <c r="A22" s="19">
        <v>123505</v>
      </c>
      <c r="B22" s="20" t="s">
        <v>20</v>
      </c>
      <c r="C22" s="17"/>
      <c r="D22" s="17">
        <v>2794.28</v>
      </c>
      <c r="E22" s="44"/>
      <c r="F22" s="44"/>
      <c r="G22" s="44"/>
      <c r="H22" s="44"/>
      <c r="I22" s="17"/>
      <c r="J22" s="17"/>
      <c r="K22" s="17"/>
      <c r="L22" s="44"/>
      <c r="M22" s="17"/>
      <c r="N22" s="17">
        <v>3294</v>
      </c>
      <c r="O22" s="43">
        <f t="shared" si="0"/>
        <v>6088.2800000000007</v>
      </c>
    </row>
    <row r="23" spans="1:15" x14ac:dyDescent="0.2">
      <c r="A23" s="19">
        <v>123510</v>
      </c>
      <c r="B23" s="20" t="s">
        <v>21</v>
      </c>
      <c r="C23" s="17"/>
      <c r="D23" s="44"/>
      <c r="E23" s="44"/>
      <c r="F23" s="44"/>
      <c r="G23" s="44"/>
      <c r="H23" s="44"/>
      <c r="I23" s="17"/>
      <c r="J23" s="17"/>
      <c r="K23" s="17"/>
      <c r="L23" s="44"/>
      <c r="M23" s="17"/>
      <c r="N23" s="17"/>
      <c r="O23" s="43">
        <f t="shared" si="0"/>
        <v>0</v>
      </c>
    </row>
    <row r="24" spans="1:15" x14ac:dyDescent="0.2">
      <c r="A24" s="19">
        <v>123515</v>
      </c>
      <c r="B24" s="20" t="s">
        <v>22</v>
      </c>
      <c r="C24" s="17"/>
      <c r="D24" s="17">
        <v>9510.24</v>
      </c>
      <c r="E24" s="44"/>
      <c r="F24" s="44"/>
      <c r="G24" s="44"/>
      <c r="H24" s="44"/>
      <c r="I24" s="17"/>
      <c r="J24" s="17"/>
      <c r="K24" s="17"/>
      <c r="L24" s="44"/>
      <c r="M24" s="17"/>
      <c r="N24" s="17"/>
      <c r="O24" s="43">
        <f t="shared" si="0"/>
        <v>9510.24</v>
      </c>
    </row>
    <row r="25" spans="1:15" x14ac:dyDescent="0.2">
      <c r="A25" s="19">
        <v>123520</v>
      </c>
      <c r="B25" s="20" t="s">
        <v>23</v>
      </c>
      <c r="C25" s="17"/>
      <c r="D25" s="17">
        <v>5364.88</v>
      </c>
      <c r="E25" s="44"/>
      <c r="F25" s="44"/>
      <c r="G25" s="44"/>
      <c r="H25" s="44"/>
      <c r="I25" s="17"/>
      <c r="J25" s="17"/>
      <c r="K25" s="17"/>
      <c r="L25" s="17"/>
      <c r="M25" s="17"/>
      <c r="N25" s="17"/>
      <c r="O25" s="43">
        <f t="shared" si="0"/>
        <v>5364.88</v>
      </c>
    </row>
    <row r="26" spans="1:15" x14ac:dyDescent="0.2">
      <c r="A26" s="19">
        <v>123525</v>
      </c>
      <c r="B26" s="20" t="s">
        <v>24</v>
      </c>
      <c r="C26" s="17"/>
      <c r="D26" s="44"/>
      <c r="E26" s="44"/>
      <c r="F26" s="44"/>
      <c r="G26" s="44"/>
      <c r="H26" s="44"/>
      <c r="I26" s="17"/>
      <c r="J26" s="17"/>
      <c r="K26" s="44"/>
      <c r="L26" s="44"/>
      <c r="M26" s="17"/>
      <c r="N26" s="17"/>
      <c r="O26" s="43">
        <f t="shared" si="0"/>
        <v>0</v>
      </c>
    </row>
    <row r="27" spans="1:15" x14ac:dyDescent="0.2">
      <c r="A27" s="19"/>
      <c r="B27" s="20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43"/>
    </row>
    <row r="28" spans="1:15" x14ac:dyDescent="0.2">
      <c r="A28" s="19"/>
      <c r="B28" s="20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43"/>
    </row>
    <row r="29" spans="1:15" x14ac:dyDescent="0.2">
      <c r="A29" s="19">
        <v>125450</v>
      </c>
      <c r="B29" s="20" t="s">
        <v>27</v>
      </c>
      <c r="C29" s="17"/>
      <c r="D29" s="16">
        <v>275042.88</v>
      </c>
      <c r="E29" s="17"/>
      <c r="F29" s="17"/>
      <c r="G29" s="17"/>
      <c r="H29" s="17"/>
      <c r="I29" s="17"/>
      <c r="J29" s="17"/>
      <c r="K29" s="17"/>
      <c r="L29" s="17"/>
      <c r="M29" s="16">
        <v>468619.71</v>
      </c>
      <c r="N29" s="16">
        <f>SUM(N30:N52)</f>
        <v>405531.23</v>
      </c>
      <c r="O29" s="43">
        <f>SUM(C29:N29)*-1</f>
        <v>-1149193.82</v>
      </c>
    </row>
    <row r="30" spans="1:15" x14ac:dyDescent="0.2">
      <c r="A30" s="19">
        <v>125497</v>
      </c>
      <c r="B30" s="20" t="s">
        <v>60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43">
        <f>SUM(C30:N30)</f>
        <v>0</v>
      </c>
    </row>
    <row r="31" spans="1:15" x14ac:dyDescent="0.2">
      <c r="A31" s="19">
        <v>125500</v>
      </c>
      <c r="B31" s="20" t="s">
        <v>62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43">
        <f>SUM(C31:N31)</f>
        <v>0</v>
      </c>
    </row>
    <row r="32" spans="1:15" x14ac:dyDescent="0.2">
      <c r="A32" s="19">
        <v>125501</v>
      </c>
      <c r="B32" s="20" t="s">
        <v>28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>
        <f>VLOOKUP(A32,'Balancete Contab. 12 2020'!A:F,6,0)</f>
        <v>72140.72</v>
      </c>
      <c r="O32" s="43">
        <f>SUM(C32:N32)*-1</f>
        <v>-72140.72</v>
      </c>
    </row>
    <row r="33" spans="1:15" x14ac:dyDescent="0.2">
      <c r="A33" s="19">
        <v>125502</v>
      </c>
      <c r="B33" s="20" t="s">
        <v>29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>
        <f>VLOOKUP(A33,'Balancete Contab. 12 2020'!A:F,6,0)</f>
        <v>51444.91</v>
      </c>
      <c r="O33" s="43">
        <f>SUM(C33:N33)*-1</f>
        <v>-51444.91</v>
      </c>
    </row>
    <row r="34" spans="1:15" x14ac:dyDescent="0.2">
      <c r="A34" s="19">
        <v>125503</v>
      </c>
      <c r="B34" s="20" t="s">
        <v>30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>
        <f>VLOOKUP(A34,'Balancete Contab. 12 2020'!A:F,6,0)</f>
        <v>6415.25</v>
      </c>
      <c r="O34" s="43">
        <f>SUM(C34:N34)*-1</f>
        <v>-6415.25</v>
      </c>
    </row>
    <row r="35" spans="1:15" x14ac:dyDescent="0.2">
      <c r="A35" s="19">
        <v>125504</v>
      </c>
      <c r="B35" s="20" t="s">
        <v>31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>
        <f>VLOOKUP(A35,'Balancete Contab. 12 2020'!A:F,6,0)</f>
        <v>19934.400000000001</v>
      </c>
      <c r="O35" s="43">
        <f>SUM(C35:N35)*-1</f>
        <v>-19934.400000000001</v>
      </c>
    </row>
    <row r="36" spans="1:15" x14ac:dyDescent="0.2">
      <c r="A36" s="19">
        <v>125505</v>
      </c>
      <c r="B36" s="20" t="s">
        <v>32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>
        <f>VLOOKUP(A36,'Balancete Contab. 12 2020'!A:F,6,0)</f>
        <v>53877.03</v>
      </c>
      <c r="O36" s="43">
        <f>SUM(C36:N36)*-1</f>
        <v>-53877.03</v>
      </c>
    </row>
    <row r="37" spans="1:15" x14ac:dyDescent="0.2">
      <c r="A37" s="19">
        <v>125506</v>
      </c>
      <c r="B37" s="20" t="s">
        <v>33</v>
      </c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43">
        <f t="shared" ref="O37" si="1">SUM(C37:N37)</f>
        <v>0</v>
      </c>
    </row>
    <row r="38" spans="1:15" x14ac:dyDescent="0.2">
      <c r="A38" s="19">
        <v>125507</v>
      </c>
      <c r="B38" s="20" t="s">
        <v>34</v>
      </c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43">
        <f t="shared" ref="O38:O42" si="2">SUM(C38:N38)*-1</f>
        <v>0</v>
      </c>
    </row>
    <row r="39" spans="1:15" x14ac:dyDescent="0.2">
      <c r="A39" s="19">
        <v>125507</v>
      </c>
      <c r="B39" s="20" t="s">
        <v>34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43">
        <f t="shared" si="2"/>
        <v>0</v>
      </c>
    </row>
    <row r="40" spans="1:15" x14ac:dyDescent="0.2">
      <c r="A40" s="19">
        <v>125508</v>
      </c>
      <c r="B40" s="20" t="s">
        <v>35</v>
      </c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43">
        <f t="shared" si="2"/>
        <v>0</v>
      </c>
    </row>
    <row r="41" spans="1:15" x14ac:dyDescent="0.2">
      <c r="A41" s="19">
        <v>125509</v>
      </c>
      <c r="B41" s="20" t="s">
        <v>64</v>
      </c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43">
        <f t="shared" si="2"/>
        <v>0</v>
      </c>
    </row>
    <row r="42" spans="1:15" x14ac:dyDescent="0.2">
      <c r="A42" s="19">
        <v>125510</v>
      </c>
      <c r="B42" s="20" t="s">
        <v>258</v>
      </c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43">
        <f t="shared" si="2"/>
        <v>0</v>
      </c>
    </row>
    <row r="43" spans="1:15" x14ac:dyDescent="0.2">
      <c r="A43" s="19">
        <v>125511</v>
      </c>
      <c r="B43" s="20" t="s">
        <v>259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43">
        <f>SUM(C43:N43)*-1</f>
        <v>0</v>
      </c>
    </row>
    <row r="44" spans="1:15" x14ac:dyDescent="0.2">
      <c r="A44" s="19">
        <v>125512</v>
      </c>
      <c r="B44" s="20" t="s">
        <v>681</v>
      </c>
      <c r="C44" s="17"/>
      <c r="D44" s="17">
        <v>231443.01</v>
      </c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43">
        <f t="shared" ref="O44:O46" si="3">SUM(C44:N44)*-1</f>
        <v>-231443.01</v>
      </c>
    </row>
    <row r="45" spans="1:15" x14ac:dyDescent="0.2">
      <c r="A45" s="19">
        <v>125513</v>
      </c>
      <c r="B45" s="20" t="s">
        <v>722</v>
      </c>
      <c r="C45" s="17"/>
      <c r="D45" s="17">
        <v>43599.87</v>
      </c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43">
        <f t="shared" si="3"/>
        <v>-43599.87</v>
      </c>
    </row>
    <row r="46" spans="1:15" x14ac:dyDescent="0.2">
      <c r="A46" s="19">
        <v>125514</v>
      </c>
      <c r="B46" s="20" t="s">
        <v>790</v>
      </c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>
        <f>VLOOKUP(A46,'Balancete Contab. 12 2020'!A:F,6,0)</f>
        <v>7218.32</v>
      </c>
      <c r="O46" s="43">
        <f t="shared" si="3"/>
        <v>-7218.32</v>
      </c>
    </row>
    <row r="47" spans="1:15" x14ac:dyDescent="0.2">
      <c r="A47" s="19">
        <v>125515</v>
      </c>
      <c r="B47" s="20" t="s">
        <v>869</v>
      </c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43"/>
    </row>
    <row r="48" spans="1:15" x14ac:dyDescent="0.2">
      <c r="A48" s="19">
        <v>125516</v>
      </c>
      <c r="B48" s="78" t="s">
        <v>879</v>
      </c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>
        <v>468619.71</v>
      </c>
      <c r="N48" s="17"/>
      <c r="O48" s="43">
        <f t="shared" ref="O48:O52" si="4">SUM(C48:N48)*-1</f>
        <v>-468619.71</v>
      </c>
    </row>
    <row r="49" spans="1:15" x14ac:dyDescent="0.2">
      <c r="A49" s="107">
        <v>125517</v>
      </c>
      <c r="B49" s="106" t="s">
        <v>971</v>
      </c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>
        <f>VLOOKUP(A49,'Balancete Contab. 12 2020'!A:F,6,0)</f>
        <v>159937.32999999999</v>
      </c>
      <c r="O49" s="43">
        <f t="shared" si="4"/>
        <v>-159937.32999999999</v>
      </c>
    </row>
    <row r="50" spans="1:15" x14ac:dyDescent="0.2">
      <c r="A50" s="107">
        <v>125518</v>
      </c>
      <c r="B50" s="106" t="s">
        <v>972</v>
      </c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43">
        <f t="shared" si="4"/>
        <v>0</v>
      </c>
    </row>
    <row r="51" spans="1:15" x14ac:dyDescent="0.2">
      <c r="A51" s="115">
        <v>125519</v>
      </c>
      <c r="B51" s="27" t="s">
        <v>1040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43">
        <f t="shared" si="4"/>
        <v>0</v>
      </c>
    </row>
    <row r="52" spans="1:15" x14ac:dyDescent="0.2">
      <c r="A52" s="107">
        <v>125520</v>
      </c>
      <c r="B52" s="106" t="s">
        <v>984</v>
      </c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>
        <f>VLOOKUP(A52,'Balancete Contab. 12 2020'!A:F,6,0)</f>
        <v>34563.269999999997</v>
      </c>
      <c r="O52" s="43">
        <f t="shared" si="4"/>
        <v>-34563.269999999997</v>
      </c>
    </row>
    <row r="53" spans="1:15" x14ac:dyDescent="0.2">
      <c r="A53" s="19"/>
      <c r="B53" s="20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43"/>
    </row>
    <row r="54" spans="1:15" x14ac:dyDescent="0.2">
      <c r="A54" s="19"/>
      <c r="B54" s="20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43"/>
    </row>
    <row r="55" spans="1:15" x14ac:dyDescent="0.2">
      <c r="A55" s="19">
        <v>145000</v>
      </c>
      <c r="B55" s="20" t="s">
        <v>52</v>
      </c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>
        <f>N58</f>
        <v>206.45</v>
      </c>
      <c r="O55" s="43">
        <f>SUM(C55:N59)</f>
        <v>412.9</v>
      </c>
    </row>
    <row r="56" spans="1:15" x14ac:dyDescent="0.2">
      <c r="A56" s="19">
        <v>145100</v>
      </c>
      <c r="B56" s="20" t="s">
        <v>53</v>
      </c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43">
        <f>SUM(C56:N56)</f>
        <v>0</v>
      </c>
    </row>
    <row r="57" spans="1:15" x14ac:dyDescent="0.2">
      <c r="A57" s="19">
        <v>145210</v>
      </c>
      <c r="B57" s="20" t="s">
        <v>54</v>
      </c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43">
        <f>SUM(C57:N57)</f>
        <v>0</v>
      </c>
    </row>
    <row r="58" spans="1:15" x14ac:dyDescent="0.2">
      <c r="A58" s="19">
        <v>145310</v>
      </c>
      <c r="B58" s="20" t="s">
        <v>55</v>
      </c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>
        <v>206.45</v>
      </c>
      <c r="O58" s="43">
        <f>SUM(C58:N58)</f>
        <v>206.45</v>
      </c>
    </row>
    <row r="59" spans="1:15" x14ac:dyDescent="0.2">
      <c r="A59" s="19">
        <v>145315</v>
      </c>
      <c r="B59" s="20" t="s">
        <v>63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43">
        <f>SUM(C59:N59)</f>
        <v>0</v>
      </c>
    </row>
    <row r="60" spans="1:15" ht="13.5" thickBot="1" x14ac:dyDescent="0.25">
      <c r="A60" s="24"/>
      <c r="B60" s="25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45"/>
    </row>
    <row r="61" spans="1:15" ht="13.5" thickTop="1" x14ac:dyDescent="0.2"/>
  </sheetData>
  <phoneticPr fontId="9" type="noConversion"/>
  <pageMargins left="0.78740157499999996" right="0.78740157499999996" top="0.984251969" bottom="0.984251969" header="0.49212598499999999" footer="0.49212598499999999"/>
  <pageSetup scale="65" orientation="landscape" horizontalDpi="1200" verticalDpi="12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2:O90"/>
  <sheetViews>
    <sheetView showGridLines="0" zoomScale="80" zoomScaleNormal="80" workbookViewId="0">
      <pane ySplit="4" topLeftCell="A38" activePane="bottomLeft" state="frozen"/>
      <selection activeCell="G23" sqref="G23"/>
      <selection pane="bottomLeft" activeCell="B53" sqref="B53"/>
    </sheetView>
  </sheetViews>
  <sheetFormatPr defaultColWidth="12.5703125" defaultRowHeight="12.75" x14ac:dyDescent="0.2"/>
  <cols>
    <col min="1" max="1" width="11.42578125" customWidth="1"/>
    <col min="2" max="2" width="57" bestFit="1" customWidth="1"/>
    <col min="3" max="3" width="11.7109375" style="1" bestFit="1" customWidth="1"/>
    <col min="4" max="4" width="11.85546875" bestFit="1" customWidth="1"/>
    <col min="5" max="5" width="12.7109375" bestFit="1" customWidth="1"/>
    <col min="6" max="6" width="12.140625" bestFit="1" customWidth="1"/>
    <col min="7" max="7" width="12.42578125" bestFit="1" customWidth="1"/>
    <col min="8" max="8" width="12.7109375" bestFit="1" customWidth="1"/>
    <col min="9" max="9" width="12" bestFit="1" customWidth="1"/>
    <col min="10" max="10" width="12.42578125" bestFit="1" customWidth="1"/>
    <col min="11" max="12" width="12.140625" bestFit="1" customWidth="1"/>
    <col min="13" max="13" width="12.42578125" bestFit="1" customWidth="1"/>
    <col min="14" max="14" width="14.5703125" bestFit="1" customWidth="1"/>
    <col min="15" max="15" width="13.5703125" bestFit="1" customWidth="1"/>
    <col min="257" max="257" width="11.42578125" customWidth="1"/>
    <col min="258" max="258" width="57" bestFit="1" customWidth="1"/>
    <col min="259" max="259" width="11.7109375" bestFit="1" customWidth="1"/>
    <col min="260" max="260" width="11.85546875" bestFit="1" customWidth="1"/>
    <col min="261" max="261" width="12.7109375" bestFit="1" customWidth="1"/>
    <col min="262" max="262" width="12.140625" bestFit="1" customWidth="1"/>
    <col min="263" max="263" width="12.42578125" bestFit="1" customWidth="1"/>
    <col min="264" max="264" width="12.7109375" bestFit="1" customWidth="1"/>
    <col min="265" max="265" width="11.28515625" bestFit="1" customWidth="1"/>
    <col min="266" max="266" width="12.42578125" bestFit="1" customWidth="1"/>
    <col min="267" max="268" width="12.140625" bestFit="1" customWidth="1"/>
    <col min="269" max="270" width="12.42578125" bestFit="1" customWidth="1"/>
    <col min="271" max="271" width="13.5703125" bestFit="1" customWidth="1"/>
    <col min="513" max="513" width="11.42578125" customWidth="1"/>
    <col min="514" max="514" width="57" bestFit="1" customWidth="1"/>
    <col min="515" max="515" width="11.7109375" bestFit="1" customWidth="1"/>
    <col min="516" max="516" width="11.85546875" bestFit="1" customWidth="1"/>
    <col min="517" max="517" width="12.7109375" bestFit="1" customWidth="1"/>
    <col min="518" max="518" width="12.140625" bestFit="1" customWidth="1"/>
    <col min="519" max="519" width="12.42578125" bestFit="1" customWidth="1"/>
    <col min="520" max="520" width="12.7109375" bestFit="1" customWidth="1"/>
    <col min="521" max="521" width="11.28515625" bestFit="1" customWidth="1"/>
    <col min="522" max="522" width="12.42578125" bestFit="1" customWidth="1"/>
    <col min="523" max="524" width="12.140625" bestFit="1" customWidth="1"/>
    <col min="525" max="526" width="12.42578125" bestFit="1" customWidth="1"/>
    <col min="527" max="527" width="13.5703125" bestFit="1" customWidth="1"/>
    <col min="769" max="769" width="11.42578125" customWidth="1"/>
    <col min="770" max="770" width="57" bestFit="1" customWidth="1"/>
    <col min="771" max="771" width="11.7109375" bestFit="1" customWidth="1"/>
    <col min="772" max="772" width="11.85546875" bestFit="1" customWidth="1"/>
    <col min="773" max="773" width="12.7109375" bestFit="1" customWidth="1"/>
    <col min="774" max="774" width="12.140625" bestFit="1" customWidth="1"/>
    <col min="775" max="775" width="12.42578125" bestFit="1" customWidth="1"/>
    <col min="776" max="776" width="12.7109375" bestFit="1" customWidth="1"/>
    <col min="777" max="777" width="11.28515625" bestFit="1" customWidth="1"/>
    <col min="778" max="778" width="12.42578125" bestFit="1" customWidth="1"/>
    <col min="779" max="780" width="12.140625" bestFit="1" customWidth="1"/>
    <col min="781" max="782" width="12.42578125" bestFit="1" customWidth="1"/>
    <col min="783" max="783" width="13.5703125" bestFit="1" customWidth="1"/>
    <col min="1025" max="1025" width="11.42578125" customWidth="1"/>
    <col min="1026" max="1026" width="57" bestFit="1" customWidth="1"/>
    <col min="1027" max="1027" width="11.7109375" bestFit="1" customWidth="1"/>
    <col min="1028" max="1028" width="11.85546875" bestFit="1" customWidth="1"/>
    <col min="1029" max="1029" width="12.7109375" bestFit="1" customWidth="1"/>
    <col min="1030" max="1030" width="12.140625" bestFit="1" customWidth="1"/>
    <col min="1031" max="1031" width="12.42578125" bestFit="1" customWidth="1"/>
    <col min="1032" max="1032" width="12.7109375" bestFit="1" customWidth="1"/>
    <col min="1033" max="1033" width="11.28515625" bestFit="1" customWidth="1"/>
    <col min="1034" max="1034" width="12.42578125" bestFit="1" customWidth="1"/>
    <col min="1035" max="1036" width="12.140625" bestFit="1" customWidth="1"/>
    <col min="1037" max="1038" width="12.42578125" bestFit="1" customWidth="1"/>
    <col min="1039" max="1039" width="13.5703125" bestFit="1" customWidth="1"/>
    <col min="1281" max="1281" width="11.42578125" customWidth="1"/>
    <col min="1282" max="1282" width="57" bestFit="1" customWidth="1"/>
    <col min="1283" max="1283" width="11.7109375" bestFit="1" customWidth="1"/>
    <col min="1284" max="1284" width="11.85546875" bestFit="1" customWidth="1"/>
    <col min="1285" max="1285" width="12.7109375" bestFit="1" customWidth="1"/>
    <col min="1286" max="1286" width="12.140625" bestFit="1" customWidth="1"/>
    <col min="1287" max="1287" width="12.42578125" bestFit="1" customWidth="1"/>
    <col min="1288" max="1288" width="12.7109375" bestFit="1" customWidth="1"/>
    <col min="1289" max="1289" width="11.28515625" bestFit="1" customWidth="1"/>
    <col min="1290" max="1290" width="12.42578125" bestFit="1" customWidth="1"/>
    <col min="1291" max="1292" width="12.140625" bestFit="1" customWidth="1"/>
    <col min="1293" max="1294" width="12.42578125" bestFit="1" customWidth="1"/>
    <col min="1295" max="1295" width="13.5703125" bestFit="1" customWidth="1"/>
    <col min="1537" max="1537" width="11.42578125" customWidth="1"/>
    <col min="1538" max="1538" width="57" bestFit="1" customWidth="1"/>
    <col min="1539" max="1539" width="11.7109375" bestFit="1" customWidth="1"/>
    <col min="1540" max="1540" width="11.85546875" bestFit="1" customWidth="1"/>
    <col min="1541" max="1541" width="12.7109375" bestFit="1" customWidth="1"/>
    <col min="1542" max="1542" width="12.140625" bestFit="1" customWidth="1"/>
    <col min="1543" max="1543" width="12.42578125" bestFit="1" customWidth="1"/>
    <col min="1544" max="1544" width="12.7109375" bestFit="1" customWidth="1"/>
    <col min="1545" max="1545" width="11.28515625" bestFit="1" customWidth="1"/>
    <col min="1546" max="1546" width="12.42578125" bestFit="1" customWidth="1"/>
    <col min="1547" max="1548" width="12.140625" bestFit="1" customWidth="1"/>
    <col min="1549" max="1550" width="12.42578125" bestFit="1" customWidth="1"/>
    <col min="1551" max="1551" width="13.5703125" bestFit="1" customWidth="1"/>
    <col min="1793" max="1793" width="11.42578125" customWidth="1"/>
    <col min="1794" max="1794" width="57" bestFit="1" customWidth="1"/>
    <col min="1795" max="1795" width="11.7109375" bestFit="1" customWidth="1"/>
    <col min="1796" max="1796" width="11.85546875" bestFit="1" customWidth="1"/>
    <col min="1797" max="1797" width="12.7109375" bestFit="1" customWidth="1"/>
    <col min="1798" max="1798" width="12.140625" bestFit="1" customWidth="1"/>
    <col min="1799" max="1799" width="12.42578125" bestFit="1" customWidth="1"/>
    <col min="1800" max="1800" width="12.7109375" bestFit="1" customWidth="1"/>
    <col min="1801" max="1801" width="11.28515625" bestFit="1" customWidth="1"/>
    <col min="1802" max="1802" width="12.42578125" bestFit="1" customWidth="1"/>
    <col min="1803" max="1804" width="12.140625" bestFit="1" customWidth="1"/>
    <col min="1805" max="1806" width="12.42578125" bestFit="1" customWidth="1"/>
    <col min="1807" max="1807" width="13.5703125" bestFit="1" customWidth="1"/>
    <col min="2049" max="2049" width="11.42578125" customWidth="1"/>
    <col min="2050" max="2050" width="57" bestFit="1" customWidth="1"/>
    <col min="2051" max="2051" width="11.7109375" bestFit="1" customWidth="1"/>
    <col min="2052" max="2052" width="11.85546875" bestFit="1" customWidth="1"/>
    <col min="2053" max="2053" width="12.7109375" bestFit="1" customWidth="1"/>
    <col min="2054" max="2054" width="12.140625" bestFit="1" customWidth="1"/>
    <col min="2055" max="2055" width="12.42578125" bestFit="1" customWidth="1"/>
    <col min="2056" max="2056" width="12.7109375" bestFit="1" customWidth="1"/>
    <col min="2057" max="2057" width="11.28515625" bestFit="1" customWidth="1"/>
    <col min="2058" max="2058" width="12.42578125" bestFit="1" customWidth="1"/>
    <col min="2059" max="2060" width="12.140625" bestFit="1" customWidth="1"/>
    <col min="2061" max="2062" width="12.42578125" bestFit="1" customWidth="1"/>
    <col min="2063" max="2063" width="13.5703125" bestFit="1" customWidth="1"/>
    <col min="2305" max="2305" width="11.42578125" customWidth="1"/>
    <col min="2306" max="2306" width="57" bestFit="1" customWidth="1"/>
    <col min="2307" max="2307" width="11.7109375" bestFit="1" customWidth="1"/>
    <col min="2308" max="2308" width="11.85546875" bestFit="1" customWidth="1"/>
    <col min="2309" max="2309" width="12.7109375" bestFit="1" customWidth="1"/>
    <col min="2310" max="2310" width="12.140625" bestFit="1" customWidth="1"/>
    <col min="2311" max="2311" width="12.42578125" bestFit="1" customWidth="1"/>
    <col min="2312" max="2312" width="12.7109375" bestFit="1" customWidth="1"/>
    <col min="2313" max="2313" width="11.28515625" bestFit="1" customWidth="1"/>
    <col min="2314" max="2314" width="12.42578125" bestFit="1" customWidth="1"/>
    <col min="2315" max="2316" width="12.140625" bestFit="1" customWidth="1"/>
    <col min="2317" max="2318" width="12.42578125" bestFit="1" customWidth="1"/>
    <col min="2319" max="2319" width="13.5703125" bestFit="1" customWidth="1"/>
    <col min="2561" max="2561" width="11.42578125" customWidth="1"/>
    <col min="2562" max="2562" width="57" bestFit="1" customWidth="1"/>
    <col min="2563" max="2563" width="11.7109375" bestFit="1" customWidth="1"/>
    <col min="2564" max="2564" width="11.85546875" bestFit="1" customWidth="1"/>
    <col min="2565" max="2565" width="12.7109375" bestFit="1" customWidth="1"/>
    <col min="2566" max="2566" width="12.140625" bestFit="1" customWidth="1"/>
    <col min="2567" max="2567" width="12.42578125" bestFit="1" customWidth="1"/>
    <col min="2568" max="2568" width="12.7109375" bestFit="1" customWidth="1"/>
    <col min="2569" max="2569" width="11.28515625" bestFit="1" customWidth="1"/>
    <col min="2570" max="2570" width="12.42578125" bestFit="1" customWidth="1"/>
    <col min="2571" max="2572" width="12.140625" bestFit="1" customWidth="1"/>
    <col min="2573" max="2574" width="12.42578125" bestFit="1" customWidth="1"/>
    <col min="2575" max="2575" width="13.5703125" bestFit="1" customWidth="1"/>
    <col min="2817" max="2817" width="11.42578125" customWidth="1"/>
    <col min="2818" max="2818" width="57" bestFit="1" customWidth="1"/>
    <col min="2819" max="2819" width="11.7109375" bestFit="1" customWidth="1"/>
    <col min="2820" max="2820" width="11.85546875" bestFit="1" customWidth="1"/>
    <col min="2821" max="2821" width="12.7109375" bestFit="1" customWidth="1"/>
    <col min="2822" max="2822" width="12.140625" bestFit="1" customWidth="1"/>
    <col min="2823" max="2823" width="12.42578125" bestFit="1" customWidth="1"/>
    <col min="2824" max="2824" width="12.7109375" bestFit="1" customWidth="1"/>
    <col min="2825" max="2825" width="11.28515625" bestFit="1" customWidth="1"/>
    <col min="2826" max="2826" width="12.42578125" bestFit="1" customWidth="1"/>
    <col min="2827" max="2828" width="12.140625" bestFit="1" customWidth="1"/>
    <col min="2829" max="2830" width="12.42578125" bestFit="1" customWidth="1"/>
    <col min="2831" max="2831" width="13.5703125" bestFit="1" customWidth="1"/>
    <col min="3073" max="3073" width="11.42578125" customWidth="1"/>
    <col min="3074" max="3074" width="57" bestFit="1" customWidth="1"/>
    <col min="3075" max="3075" width="11.7109375" bestFit="1" customWidth="1"/>
    <col min="3076" max="3076" width="11.85546875" bestFit="1" customWidth="1"/>
    <col min="3077" max="3077" width="12.7109375" bestFit="1" customWidth="1"/>
    <col min="3078" max="3078" width="12.140625" bestFit="1" customWidth="1"/>
    <col min="3079" max="3079" width="12.42578125" bestFit="1" customWidth="1"/>
    <col min="3080" max="3080" width="12.7109375" bestFit="1" customWidth="1"/>
    <col min="3081" max="3081" width="11.28515625" bestFit="1" customWidth="1"/>
    <col min="3082" max="3082" width="12.42578125" bestFit="1" customWidth="1"/>
    <col min="3083" max="3084" width="12.140625" bestFit="1" customWidth="1"/>
    <col min="3085" max="3086" width="12.42578125" bestFit="1" customWidth="1"/>
    <col min="3087" max="3087" width="13.5703125" bestFit="1" customWidth="1"/>
    <col min="3329" max="3329" width="11.42578125" customWidth="1"/>
    <col min="3330" max="3330" width="57" bestFit="1" customWidth="1"/>
    <col min="3331" max="3331" width="11.7109375" bestFit="1" customWidth="1"/>
    <col min="3332" max="3332" width="11.85546875" bestFit="1" customWidth="1"/>
    <col min="3333" max="3333" width="12.7109375" bestFit="1" customWidth="1"/>
    <col min="3334" max="3334" width="12.140625" bestFit="1" customWidth="1"/>
    <col min="3335" max="3335" width="12.42578125" bestFit="1" customWidth="1"/>
    <col min="3336" max="3336" width="12.7109375" bestFit="1" customWidth="1"/>
    <col min="3337" max="3337" width="11.28515625" bestFit="1" customWidth="1"/>
    <col min="3338" max="3338" width="12.42578125" bestFit="1" customWidth="1"/>
    <col min="3339" max="3340" width="12.140625" bestFit="1" customWidth="1"/>
    <col min="3341" max="3342" width="12.42578125" bestFit="1" customWidth="1"/>
    <col min="3343" max="3343" width="13.5703125" bestFit="1" customWidth="1"/>
    <col min="3585" max="3585" width="11.42578125" customWidth="1"/>
    <col min="3586" max="3586" width="57" bestFit="1" customWidth="1"/>
    <col min="3587" max="3587" width="11.7109375" bestFit="1" customWidth="1"/>
    <col min="3588" max="3588" width="11.85546875" bestFit="1" customWidth="1"/>
    <col min="3589" max="3589" width="12.7109375" bestFit="1" customWidth="1"/>
    <col min="3590" max="3590" width="12.140625" bestFit="1" customWidth="1"/>
    <col min="3591" max="3591" width="12.42578125" bestFit="1" customWidth="1"/>
    <col min="3592" max="3592" width="12.7109375" bestFit="1" customWidth="1"/>
    <col min="3593" max="3593" width="11.28515625" bestFit="1" customWidth="1"/>
    <col min="3594" max="3594" width="12.42578125" bestFit="1" customWidth="1"/>
    <col min="3595" max="3596" width="12.140625" bestFit="1" customWidth="1"/>
    <col min="3597" max="3598" width="12.42578125" bestFit="1" customWidth="1"/>
    <col min="3599" max="3599" width="13.5703125" bestFit="1" customWidth="1"/>
    <col min="3841" max="3841" width="11.42578125" customWidth="1"/>
    <col min="3842" max="3842" width="57" bestFit="1" customWidth="1"/>
    <col min="3843" max="3843" width="11.7109375" bestFit="1" customWidth="1"/>
    <col min="3844" max="3844" width="11.85546875" bestFit="1" customWidth="1"/>
    <col min="3845" max="3845" width="12.7109375" bestFit="1" customWidth="1"/>
    <col min="3846" max="3846" width="12.140625" bestFit="1" customWidth="1"/>
    <col min="3847" max="3847" width="12.42578125" bestFit="1" customWidth="1"/>
    <col min="3848" max="3848" width="12.7109375" bestFit="1" customWidth="1"/>
    <col min="3849" max="3849" width="11.28515625" bestFit="1" customWidth="1"/>
    <col min="3850" max="3850" width="12.42578125" bestFit="1" customWidth="1"/>
    <col min="3851" max="3852" width="12.140625" bestFit="1" customWidth="1"/>
    <col min="3853" max="3854" width="12.42578125" bestFit="1" customWidth="1"/>
    <col min="3855" max="3855" width="13.5703125" bestFit="1" customWidth="1"/>
    <col min="4097" max="4097" width="11.42578125" customWidth="1"/>
    <col min="4098" max="4098" width="57" bestFit="1" customWidth="1"/>
    <col min="4099" max="4099" width="11.7109375" bestFit="1" customWidth="1"/>
    <col min="4100" max="4100" width="11.85546875" bestFit="1" customWidth="1"/>
    <col min="4101" max="4101" width="12.7109375" bestFit="1" customWidth="1"/>
    <col min="4102" max="4102" width="12.140625" bestFit="1" customWidth="1"/>
    <col min="4103" max="4103" width="12.42578125" bestFit="1" customWidth="1"/>
    <col min="4104" max="4104" width="12.7109375" bestFit="1" customWidth="1"/>
    <col min="4105" max="4105" width="11.28515625" bestFit="1" customWidth="1"/>
    <col min="4106" max="4106" width="12.42578125" bestFit="1" customWidth="1"/>
    <col min="4107" max="4108" width="12.140625" bestFit="1" customWidth="1"/>
    <col min="4109" max="4110" width="12.42578125" bestFit="1" customWidth="1"/>
    <col min="4111" max="4111" width="13.5703125" bestFit="1" customWidth="1"/>
    <col min="4353" max="4353" width="11.42578125" customWidth="1"/>
    <col min="4354" max="4354" width="57" bestFit="1" customWidth="1"/>
    <col min="4355" max="4355" width="11.7109375" bestFit="1" customWidth="1"/>
    <col min="4356" max="4356" width="11.85546875" bestFit="1" customWidth="1"/>
    <col min="4357" max="4357" width="12.7109375" bestFit="1" customWidth="1"/>
    <col min="4358" max="4358" width="12.140625" bestFit="1" customWidth="1"/>
    <col min="4359" max="4359" width="12.42578125" bestFit="1" customWidth="1"/>
    <col min="4360" max="4360" width="12.7109375" bestFit="1" customWidth="1"/>
    <col min="4361" max="4361" width="11.28515625" bestFit="1" customWidth="1"/>
    <col min="4362" max="4362" width="12.42578125" bestFit="1" customWidth="1"/>
    <col min="4363" max="4364" width="12.140625" bestFit="1" customWidth="1"/>
    <col min="4365" max="4366" width="12.42578125" bestFit="1" customWidth="1"/>
    <col min="4367" max="4367" width="13.5703125" bestFit="1" customWidth="1"/>
    <col min="4609" max="4609" width="11.42578125" customWidth="1"/>
    <col min="4610" max="4610" width="57" bestFit="1" customWidth="1"/>
    <col min="4611" max="4611" width="11.7109375" bestFit="1" customWidth="1"/>
    <col min="4612" max="4612" width="11.85546875" bestFit="1" customWidth="1"/>
    <col min="4613" max="4613" width="12.7109375" bestFit="1" customWidth="1"/>
    <col min="4614" max="4614" width="12.140625" bestFit="1" customWidth="1"/>
    <col min="4615" max="4615" width="12.42578125" bestFit="1" customWidth="1"/>
    <col min="4616" max="4616" width="12.7109375" bestFit="1" customWidth="1"/>
    <col min="4617" max="4617" width="11.28515625" bestFit="1" customWidth="1"/>
    <col min="4618" max="4618" width="12.42578125" bestFit="1" customWidth="1"/>
    <col min="4619" max="4620" width="12.140625" bestFit="1" customWidth="1"/>
    <col min="4621" max="4622" width="12.42578125" bestFit="1" customWidth="1"/>
    <col min="4623" max="4623" width="13.5703125" bestFit="1" customWidth="1"/>
    <col min="4865" max="4865" width="11.42578125" customWidth="1"/>
    <col min="4866" max="4866" width="57" bestFit="1" customWidth="1"/>
    <col min="4867" max="4867" width="11.7109375" bestFit="1" customWidth="1"/>
    <col min="4868" max="4868" width="11.85546875" bestFit="1" customWidth="1"/>
    <col min="4869" max="4869" width="12.7109375" bestFit="1" customWidth="1"/>
    <col min="4870" max="4870" width="12.140625" bestFit="1" customWidth="1"/>
    <col min="4871" max="4871" width="12.42578125" bestFit="1" customWidth="1"/>
    <col min="4872" max="4872" width="12.7109375" bestFit="1" customWidth="1"/>
    <col min="4873" max="4873" width="11.28515625" bestFit="1" customWidth="1"/>
    <col min="4874" max="4874" width="12.42578125" bestFit="1" customWidth="1"/>
    <col min="4875" max="4876" width="12.140625" bestFit="1" customWidth="1"/>
    <col min="4877" max="4878" width="12.42578125" bestFit="1" customWidth="1"/>
    <col min="4879" max="4879" width="13.5703125" bestFit="1" customWidth="1"/>
    <col min="5121" max="5121" width="11.42578125" customWidth="1"/>
    <col min="5122" max="5122" width="57" bestFit="1" customWidth="1"/>
    <col min="5123" max="5123" width="11.7109375" bestFit="1" customWidth="1"/>
    <col min="5124" max="5124" width="11.85546875" bestFit="1" customWidth="1"/>
    <col min="5125" max="5125" width="12.7109375" bestFit="1" customWidth="1"/>
    <col min="5126" max="5126" width="12.140625" bestFit="1" customWidth="1"/>
    <col min="5127" max="5127" width="12.42578125" bestFit="1" customWidth="1"/>
    <col min="5128" max="5128" width="12.7109375" bestFit="1" customWidth="1"/>
    <col min="5129" max="5129" width="11.28515625" bestFit="1" customWidth="1"/>
    <col min="5130" max="5130" width="12.42578125" bestFit="1" customWidth="1"/>
    <col min="5131" max="5132" width="12.140625" bestFit="1" customWidth="1"/>
    <col min="5133" max="5134" width="12.42578125" bestFit="1" customWidth="1"/>
    <col min="5135" max="5135" width="13.5703125" bestFit="1" customWidth="1"/>
    <col min="5377" max="5377" width="11.42578125" customWidth="1"/>
    <col min="5378" max="5378" width="57" bestFit="1" customWidth="1"/>
    <col min="5379" max="5379" width="11.7109375" bestFit="1" customWidth="1"/>
    <col min="5380" max="5380" width="11.85546875" bestFit="1" customWidth="1"/>
    <col min="5381" max="5381" width="12.7109375" bestFit="1" customWidth="1"/>
    <col min="5382" max="5382" width="12.140625" bestFit="1" customWidth="1"/>
    <col min="5383" max="5383" width="12.42578125" bestFit="1" customWidth="1"/>
    <col min="5384" max="5384" width="12.7109375" bestFit="1" customWidth="1"/>
    <col min="5385" max="5385" width="11.28515625" bestFit="1" customWidth="1"/>
    <col min="5386" max="5386" width="12.42578125" bestFit="1" customWidth="1"/>
    <col min="5387" max="5388" width="12.140625" bestFit="1" customWidth="1"/>
    <col min="5389" max="5390" width="12.42578125" bestFit="1" customWidth="1"/>
    <col min="5391" max="5391" width="13.5703125" bestFit="1" customWidth="1"/>
    <col min="5633" max="5633" width="11.42578125" customWidth="1"/>
    <col min="5634" max="5634" width="57" bestFit="1" customWidth="1"/>
    <col min="5635" max="5635" width="11.7109375" bestFit="1" customWidth="1"/>
    <col min="5636" max="5636" width="11.85546875" bestFit="1" customWidth="1"/>
    <col min="5637" max="5637" width="12.7109375" bestFit="1" customWidth="1"/>
    <col min="5638" max="5638" width="12.140625" bestFit="1" customWidth="1"/>
    <col min="5639" max="5639" width="12.42578125" bestFit="1" customWidth="1"/>
    <col min="5640" max="5640" width="12.7109375" bestFit="1" customWidth="1"/>
    <col min="5641" max="5641" width="11.28515625" bestFit="1" customWidth="1"/>
    <col min="5642" max="5642" width="12.42578125" bestFit="1" customWidth="1"/>
    <col min="5643" max="5644" width="12.140625" bestFit="1" customWidth="1"/>
    <col min="5645" max="5646" width="12.42578125" bestFit="1" customWidth="1"/>
    <col min="5647" max="5647" width="13.5703125" bestFit="1" customWidth="1"/>
    <col min="5889" max="5889" width="11.42578125" customWidth="1"/>
    <col min="5890" max="5890" width="57" bestFit="1" customWidth="1"/>
    <col min="5891" max="5891" width="11.7109375" bestFit="1" customWidth="1"/>
    <col min="5892" max="5892" width="11.85546875" bestFit="1" customWidth="1"/>
    <col min="5893" max="5893" width="12.7109375" bestFit="1" customWidth="1"/>
    <col min="5894" max="5894" width="12.140625" bestFit="1" customWidth="1"/>
    <col min="5895" max="5895" width="12.42578125" bestFit="1" customWidth="1"/>
    <col min="5896" max="5896" width="12.7109375" bestFit="1" customWidth="1"/>
    <col min="5897" max="5897" width="11.28515625" bestFit="1" customWidth="1"/>
    <col min="5898" max="5898" width="12.42578125" bestFit="1" customWidth="1"/>
    <col min="5899" max="5900" width="12.140625" bestFit="1" customWidth="1"/>
    <col min="5901" max="5902" width="12.42578125" bestFit="1" customWidth="1"/>
    <col min="5903" max="5903" width="13.5703125" bestFit="1" customWidth="1"/>
    <col min="6145" max="6145" width="11.42578125" customWidth="1"/>
    <col min="6146" max="6146" width="57" bestFit="1" customWidth="1"/>
    <col min="6147" max="6147" width="11.7109375" bestFit="1" customWidth="1"/>
    <col min="6148" max="6148" width="11.85546875" bestFit="1" customWidth="1"/>
    <col min="6149" max="6149" width="12.7109375" bestFit="1" customWidth="1"/>
    <col min="6150" max="6150" width="12.140625" bestFit="1" customWidth="1"/>
    <col min="6151" max="6151" width="12.42578125" bestFit="1" customWidth="1"/>
    <col min="6152" max="6152" width="12.7109375" bestFit="1" customWidth="1"/>
    <col min="6153" max="6153" width="11.28515625" bestFit="1" customWidth="1"/>
    <col min="6154" max="6154" width="12.42578125" bestFit="1" customWidth="1"/>
    <col min="6155" max="6156" width="12.140625" bestFit="1" customWidth="1"/>
    <col min="6157" max="6158" width="12.42578125" bestFit="1" customWidth="1"/>
    <col min="6159" max="6159" width="13.5703125" bestFit="1" customWidth="1"/>
    <col min="6401" max="6401" width="11.42578125" customWidth="1"/>
    <col min="6402" max="6402" width="57" bestFit="1" customWidth="1"/>
    <col min="6403" max="6403" width="11.7109375" bestFit="1" customWidth="1"/>
    <col min="6404" max="6404" width="11.85546875" bestFit="1" customWidth="1"/>
    <col min="6405" max="6405" width="12.7109375" bestFit="1" customWidth="1"/>
    <col min="6406" max="6406" width="12.140625" bestFit="1" customWidth="1"/>
    <col min="6407" max="6407" width="12.42578125" bestFit="1" customWidth="1"/>
    <col min="6408" max="6408" width="12.7109375" bestFit="1" customWidth="1"/>
    <col min="6409" max="6409" width="11.28515625" bestFit="1" customWidth="1"/>
    <col min="6410" max="6410" width="12.42578125" bestFit="1" customWidth="1"/>
    <col min="6411" max="6412" width="12.140625" bestFit="1" customWidth="1"/>
    <col min="6413" max="6414" width="12.42578125" bestFit="1" customWidth="1"/>
    <col min="6415" max="6415" width="13.5703125" bestFit="1" customWidth="1"/>
    <col min="6657" max="6657" width="11.42578125" customWidth="1"/>
    <col min="6658" max="6658" width="57" bestFit="1" customWidth="1"/>
    <col min="6659" max="6659" width="11.7109375" bestFit="1" customWidth="1"/>
    <col min="6660" max="6660" width="11.85546875" bestFit="1" customWidth="1"/>
    <col min="6661" max="6661" width="12.7109375" bestFit="1" customWidth="1"/>
    <col min="6662" max="6662" width="12.140625" bestFit="1" customWidth="1"/>
    <col min="6663" max="6663" width="12.42578125" bestFit="1" customWidth="1"/>
    <col min="6664" max="6664" width="12.7109375" bestFit="1" customWidth="1"/>
    <col min="6665" max="6665" width="11.28515625" bestFit="1" customWidth="1"/>
    <col min="6666" max="6666" width="12.42578125" bestFit="1" customWidth="1"/>
    <col min="6667" max="6668" width="12.140625" bestFit="1" customWidth="1"/>
    <col min="6669" max="6670" width="12.42578125" bestFit="1" customWidth="1"/>
    <col min="6671" max="6671" width="13.5703125" bestFit="1" customWidth="1"/>
    <col min="6913" max="6913" width="11.42578125" customWidth="1"/>
    <col min="6914" max="6914" width="57" bestFit="1" customWidth="1"/>
    <col min="6915" max="6915" width="11.7109375" bestFit="1" customWidth="1"/>
    <col min="6916" max="6916" width="11.85546875" bestFit="1" customWidth="1"/>
    <col min="6917" max="6917" width="12.7109375" bestFit="1" customWidth="1"/>
    <col min="6918" max="6918" width="12.140625" bestFit="1" customWidth="1"/>
    <col min="6919" max="6919" width="12.42578125" bestFit="1" customWidth="1"/>
    <col min="6920" max="6920" width="12.7109375" bestFit="1" customWidth="1"/>
    <col min="6921" max="6921" width="11.28515625" bestFit="1" customWidth="1"/>
    <col min="6922" max="6922" width="12.42578125" bestFit="1" customWidth="1"/>
    <col min="6923" max="6924" width="12.140625" bestFit="1" customWidth="1"/>
    <col min="6925" max="6926" width="12.42578125" bestFit="1" customWidth="1"/>
    <col min="6927" max="6927" width="13.5703125" bestFit="1" customWidth="1"/>
    <col min="7169" max="7169" width="11.42578125" customWidth="1"/>
    <col min="7170" max="7170" width="57" bestFit="1" customWidth="1"/>
    <col min="7171" max="7171" width="11.7109375" bestFit="1" customWidth="1"/>
    <col min="7172" max="7172" width="11.85546875" bestFit="1" customWidth="1"/>
    <col min="7173" max="7173" width="12.7109375" bestFit="1" customWidth="1"/>
    <col min="7174" max="7174" width="12.140625" bestFit="1" customWidth="1"/>
    <col min="7175" max="7175" width="12.42578125" bestFit="1" customWidth="1"/>
    <col min="7176" max="7176" width="12.7109375" bestFit="1" customWidth="1"/>
    <col min="7177" max="7177" width="11.28515625" bestFit="1" customWidth="1"/>
    <col min="7178" max="7178" width="12.42578125" bestFit="1" customWidth="1"/>
    <col min="7179" max="7180" width="12.140625" bestFit="1" customWidth="1"/>
    <col min="7181" max="7182" width="12.42578125" bestFit="1" customWidth="1"/>
    <col min="7183" max="7183" width="13.5703125" bestFit="1" customWidth="1"/>
    <col min="7425" max="7425" width="11.42578125" customWidth="1"/>
    <col min="7426" max="7426" width="57" bestFit="1" customWidth="1"/>
    <col min="7427" max="7427" width="11.7109375" bestFit="1" customWidth="1"/>
    <col min="7428" max="7428" width="11.85546875" bestFit="1" customWidth="1"/>
    <col min="7429" max="7429" width="12.7109375" bestFit="1" customWidth="1"/>
    <col min="7430" max="7430" width="12.140625" bestFit="1" customWidth="1"/>
    <col min="7431" max="7431" width="12.42578125" bestFit="1" customWidth="1"/>
    <col min="7432" max="7432" width="12.7109375" bestFit="1" customWidth="1"/>
    <col min="7433" max="7433" width="11.28515625" bestFit="1" customWidth="1"/>
    <col min="7434" max="7434" width="12.42578125" bestFit="1" customWidth="1"/>
    <col min="7435" max="7436" width="12.140625" bestFit="1" customWidth="1"/>
    <col min="7437" max="7438" width="12.42578125" bestFit="1" customWidth="1"/>
    <col min="7439" max="7439" width="13.5703125" bestFit="1" customWidth="1"/>
    <col min="7681" max="7681" width="11.42578125" customWidth="1"/>
    <col min="7682" max="7682" width="57" bestFit="1" customWidth="1"/>
    <col min="7683" max="7683" width="11.7109375" bestFit="1" customWidth="1"/>
    <col min="7684" max="7684" width="11.85546875" bestFit="1" customWidth="1"/>
    <col min="7685" max="7685" width="12.7109375" bestFit="1" customWidth="1"/>
    <col min="7686" max="7686" width="12.140625" bestFit="1" customWidth="1"/>
    <col min="7687" max="7687" width="12.42578125" bestFit="1" customWidth="1"/>
    <col min="7688" max="7688" width="12.7109375" bestFit="1" customWidth="1"/>
    <col min="7689" max="7689" width="11.28515625" bestFit="1" customWidth="1"/>
    <col min="7690" max="7690" width="12.42578125" bestFit="1" customWidth="1"/>
    <col min="7691" max="7692" width="12.140625" bestFit="1" customWidth="1"/>
    <col min="7693" max="7694" width="12.42578125" bestFit="1" customWidth="1"/>
    <col min="7695" max="7695" width="13.5703125" bestFit="1" customWidth="1"/>
    <col min="7937" max="7937" width="11.42578125" customWidth="1"/>
    <col min="7938" max="7938" width="57" bestFit="1" customWidth="1"/>
    <col min="7939" max="7939" width="11.7109375" bestFit="1" customWidth="1"/>
    <col min="7940" max="7940" width="11.85546875" bestFit="1" customWidth="1"/>
    <col min="7941" max="7941" width="12.7109375" bestFit="1" customWidth="1"/>
    <col min="7942" max="7942" width="12.140625" bestFit="1" customWidth="1"/>
    <col min="7943" max="7943" width="12.42578125" bestFit="1" customWidth="1"/>
    <col min="7944" max="7944" width="12.7109375" bestFit="1" customWidth="1"/>
    <col min="7945" max="7945" width="11.28515625" bestFit="1" customWidth="1"/>
    <col min="7946" max="7946" width="12.42578125" bestFit="1" customWidth="1"/>
    <col min="7947" max="7948" width="12.140625" bestFit="1" customWidth="1"/>
    <col min="7949" max="7950" width="12.42578125" bestFit="1" customWidth="1"/>
    <col min="7951" max="7951" width="13.5703125" bestFit="1" customWidth="1"/>
    <col min="8193" max="8193" width="11.42578125" customWidth="1"/>
    <col min="8194" max="8194" width="57" bestFit="1" customWidth="1"/>
    <col min="8195" max="8195" width="11.7109375" bestFit="1" customWidth="1"/>
    <col min="8196" max="8196" width="11.85546875" bestFit="1" customWidth="1"/>
    <col min="8197" max="8197" width="12.7109375" bestFit="1" customWidth="1"/>
    <col min="8198" max="8198" width="12.140625" bestFit="1" customWidth="1"/>
    <col min="8199" max="8199" width="12.42578125" bestFit="1" customWidth="1"/>
    <col min="8200" max="8200" width="12.7109375" bestFit="1" customWidth="1"/>
    <col min="8201" max="8201" width="11.28515625" bestFit="1" customWidth="1"/>
    <col min="8202" max="8202" width="12.42578125" bestFit="1" customWidth="1"/>
    <col min="8203" max="8204" width="12.140625" bestFit="1" customWidth="1"/>
    <col min="8205" max="8206" width="12.42578125" bestFit="1" customWidth="1"/>
    <col min="8207" max="8207" width="13.5703125" bestFit="1" customWidth="1"/>
    <col min="8449" max="8449" width="11.42578125" customWidth="1"/>
    <col min="8450" max="8450" width="57" bestFit="1" customWidth="1"/>
    <col min="8451" max="8451" width="11.7109375" bestFit="1" customWidth="1"/>
    <col min="8452" max="8452" width="11.85546875" bestFit="1" customWidth="1"/>
    <col min="8453" max="8453" width="12.7109375" bestFit="1" customWidth="1"/>
    <col min="8454" max="8454" width="12.140625" bestFit="1" customWidth="1"/>
    <col min="8455" max="8455" width="12.42578125" bestFit="1" customWidth="1"/>
    <col min="8456" max="8456" width="12.7109375" bestFit="1" customWidth="1"/>
    <col min="8457" max="8457" width="11.28515625" bestFit="1" customWidth="1"/>
    <col min="8458" max="8458" width="12.42578125" bestFit="1" customWidth="1"/>
    <col min="8459" max="8460" width="12.140625" bestFit="1" customWidth="1"/>
    <col min="8461" max="8462" width="12.42578125" bestFit="1" customWidth="1"/>
    <col min="8463" max="8463" width="13.5703125" bestFit="1" customWidth="1"/>
    <col min="8705" max="8705" width="11.42578125" customWidth="1"/>
    <col min="8706" max="8706" width="57" bestFit="1" customWidth="1"/>
    <col min="8707" max="8707" width="11.7109375" bestFit="1" customWidth="1"/>
    <col min="8708" max="8708" width="11.85546875" bestFit="1" customWidth="1"/>
    <col min="8709" max="8709" width="12.7109375" bestFit="1" customWidth="1"/>
    <col min="8710" max="8710" width="12.140625" bestFit="1" customWidth="1"/>
    <col min="8711" max="8711" width="12.42578125" bestFit="1" customWidth="1"/>
    <col min="8712" max="8712" width="12.7109375" bestFit="1" customWidth="1"/>
    <col min="8713" max="8713" width="11.28515625" bestFit="1" customWidth="1"/>
    <col min="8714" max="8714" width="12.42578125" bestFit="1" customWidth="1"/>
    <col min="8715" max="8716" width="12.140625" bestFit="1" customWidth="1"/>
    <col min="8717" max="8718" width="12.42578125" bestFit="1" customWidth="1"/>
    <col min="8719" max="8719" width="13.5703125" bestFit="1" customWidth="1"/>
    <col min="8961" max="8961" width="11.42578125" customWidth="1"/>
    <col min="8962" max="8962" width="57" bestFit="1" customWidth="1"/>
    <col min="8963" max="8963" width="11.7109375" bestFit="1" customWidth="1"/>
    <col min="8964" max="8964" width="11.85546875" bestFit="1" customWidth="1"/>
    <col min="8965" max="8965" width="12.7109375" bestFit="1" customWidth="1"/>
    <col min="8966" max="8966" width="12.140625" bestFit="1" customWidth="1"/>
    <col min="8967" max="8967" width="12.42578125" bestFit="1" customWidth="1"/>
    <col min="8968" max="8968" width="12.7109375" bestFit="1" customWidth="1"/>
    <col min="8969" max="8969" width="11.28515625" bestFit="1" customWidth="1"/>
    <col min="8970" max="8970" width="12.42578125" bestFit="1" customWidth="1"/>
    <col min="8971" max="8972" width="12.140625" bestFit="1" customWidth="1"/>
    <col min="8973" max="8974" width="12.42578125" bestFit="1" customWidth="1"/>
    <col min="8975" max="8975" width="13.5703125" bestFit="1" customWidth="1"/>
    <col min="9217" max="9217" width="11.42578125" customWidth="1"/>
    <col min="9218" max="9218" width="57" bestFit="1" customWidth="1"/>
    <col min="9219" max="9219" width="11.7109375" bestFit="1" customWidth="1"/>
    <col min="9220" max="9220" width="11.85546875" bestFit="1" customWidth="1"/>
    <col min="9221" max="9221" width="12.7109375" bestFit="1" customWidth="1"/>
    <col min="9222" max="9222" width="12.140625" bestFit="1" customWidth="1"/>
    <col min="9223" max="9223" width="12.42578125" bestFit="1" customWidth="1"/>
    <col min="9224" max="9224" width="12.7109375" bestFit="1" customWidth="1"/>
    <col min="9225" max="9225" width="11.28515625" bestFit="1" customWidth="1"/>
    <col min="9226" max="9226" width="12.42578125" bestFit="1" customWidth="1"/>
    <col min="9227" max="9228" width="12.140625" bestFit="1" customWidth="1"/>
    <col min="9229" max="9230" width="12.42578125" bestFit="1" customWidth="1"/>
    <col min="9231" max="9231" width="13.5703125" bestFit="1" customWidth="1"/>
    <col min="9473" max="9473" width="11.42578125" customWidth="1"/>
    <col min="9474" max="9474" width="57" bestFit="1" customWidth="1"/>
    <col min="9475" max="9475" width="11.7109375" bestFit="1" customWidth="1"/>
    <col min="9476" max="9476" width="11.85546875" bestFit="1" customWidth="1"/>
    <col min="9477" max="9477" width="12.7109375" bestFit="1" customWidth="1"/>
    <col min="9478" max="9478" width="12.140625" bestFit="1" customWidth="1"/>
    <col min="9479" max="9479" width="12.42578125" bestFit="1" customWidth="1"/>
    <col min="9480" max="9480" width="12.7109375" bestFit="1" customWidth="1"/>
    <col min="9481" max="9481" width="11.28515625" bestFit="1" customWidth="1"/>
    <col min="9482" max="9482" width="12.42578125" bestFit="1" customWidth="1"/>
    <col min="9483" max="9484" width="12.140625" bestFit="1" customWidth="1"/>
    <col min="9485" max="9486" width="12.42578125" bestFit="1" customWidth="1"/>
    <col min="9487" max="9487" width="13.5703125" bestFit="1" customWidth="1"/>
    <col min="9729" max="9729" width="11.42578125" customWidth="1"/>
    <col min="9730" max="9730" width="57" bestFit="1" customWidth="1"/>
    <col min="9731" max="9731" width="11.7109375" bestFit="1" customWidth="1"/>
    <col min="9732" max="9732" width="11.85546875" bestFit="1" customWidth="1"/>
    <col min="9733" max="9733" width="12.7109375" bestFit="1" customWidth="1"/>
    <col min="9734" max="9734" width="12.140625" bestFit="1" customWidth="1"/>
    <col min="9735" max="9735" width="12.42578125" bestFit="1" customWidth="1"/>
    <col min="9736" max="9736" width="12.7109375" bestFit="1" customWidth="1"/>
    <col min="9737" max="9737" width="11.28515625" bestFit="1" customWidth="1"/>
    <col min="9738" max="9738" width="12.42578125" bestFit="1" customWidth="1"/>
    <col min="9739" max="9740" width="12.140625" bestFit="1" customWidth="1"/>
    <col min="9741" max="9742" width="12.42578125" bestFit="1" customWidth="1"/>
    <col min="9743" max="9743" width="13.5703125" bestFit="1" customWidth="1"/>
    <col min="9985" max="9985" width="11.42578125" customWidth="1"/>
    <col min="9986" max="9986" width="57" bestFit="1" customWidth="1"/>
    <col min="9987" max="9987" width="11.7109375" bestFit="1" customWidth="1"/>
    <col min="9988" max="9988" width="11.85546875" bestFit="1" customWidth="1"/>
    <col min="9989" max="9989" width="12.7109375" bestFit="1" customWidth="1"/>
    <col min="9990" max="9990" width="12.140625" bestFit="1" customWidth="1"/>
    <col min="9991" max="9991" width="12.42578125" bestFit="1" customWidth="1"/>
    <col min="9992" max="9992" width="12.7109375" bestFit="1" customWidth="1"/>
    <col min="9993" max="9993" width="11.28515625" bestFit="1" customWidth="1"/>
    <col min="9994" max="9994" width="12.42578125" bestFit="1" customWidth="1"/>
    <col min="9995" max="9996" width="12.140625" bestFit="1" customWidth="1"/>
    <col min="9997" max="9998" width="12.42578125" bestFit="1" customWidth="1"/>
    <col min="9999" max="9999" width="13.5703125" bestFit="1" customWidth="1"/>
    <col min="10241" max="10241" width="11.42578125" customWidth="1"/>
    <col min="10242" max="10242" width="57" bestFit="1" customWidth="1"/>
    <col min="10243" max="10243" width="11.7109375" bestFit="1" customWidth="1"/>
    <col min="10244" max="10244" width="11.85546875" bestFit="1" customWidth="1"/>
    <col min="10245" max="10245" width="12.7109375" bestFit="1" customWidth="1"/>
    <col min="10246" max="10246" width="12.140625" bestFit="1" customWidth="1"/>
    <col min="10247" max="10247" width="12.42578125" bestFit="1" customWidth="1"/>
    <col min="10248" max="10248" width="12.7109375" bestFit="1" customWidth="1"/>
    <col min="10249" max="10249" width="11.28515625" bestFit="1" customWidth="1"/>
    <col min="10250" max="10250" width="12.42578125" bestFit="1" customWidth="1"/>
    <col min="10251" max="10252" width="12.140625" bestFit="1" customWidth="1"/>
    <col min="10253" max="10254" width="12.42578125" bestFit="1" customWidth="1"/>
    <col min="10255" max="10255" width="13.5703125" bestFit="1" customWidth="1"/>
    <col min="10497" max="10497" width="11.42578125" customWidth="1"/>
    <col min="10498" max="10498" width="57" bestFit="1" customWidth="1"/>
    <col min="10499" max="10499" width="11.7109375" bestFit="1" customWidth="1"/>
    <col min="10500" max="10500" width="11.85546875" bestFit="1" customWidth="1"/>
    <col min="10501" max="10501" width="12.7109375" bestFit="1" customWidth="1"/>
    <col min="10502" max="10502" width="12.140625" bestFit="1" customWidth="1"/>
    <col min="10503" max="10503" width="12.42578125" bestFit="1" customWidth="1"/>
    <col min="10504" max="10504" width="12.7109375" bestFit="1" customWidth="1"/>
    <col min="10505" max="10505" width="11.28515625" bestFit="1" customWidth="1"/>
    <col min="10506" max="10506" width="12.42578125" bestFit="1" customWidth="1"/>
    <col min="10507" max="10508" width="12.140625" bestFit="1" customWidth="1"/>
    <col min="10509" max="10510" width="12.42578125" bestFit="1" customWidth="1"/>
    <col min="10511" max="10511" width="13.5703125" bestFit="1" customWidth="1"/>
    <col min="10753" max="10753" width="11.42578125" customWidth="1"/>
    <col min="10754" max="10754" width="57" bestFit="1" customWidth="1"/>
    <col min="10755" max="10755" width="11.7109375" bestFit="1" customWidth="1"/>
    <col min="10756" max="10756" width="11.85546875" bestFit="1" customWidth="1"/>
    <col min="10757" max="10757" width="12.7109375" bestFit="1" customWidth="1"/>
    <col min="10758" max="10758" width="12.140625" bestFit="1" customWidth="1"/>
    <col min="10759" max="10759" width="12.42578125" bestFit="1" customWidth="1"/>
    <col min="10760" max="10760" width="12.7109375" bestFit="1" customWidth="1"/>
    <col min="10761" max="10761" width="11.28515625" bestFit="1" customWidth="1"/>
    <col min="10762" max="10762" width="12.42578125" bestFit="1" customWidth="1"/>
    <col min="10763" max="10764" width="12.140625" bestFit="1" customWidth="1"/>
    <col min="10765" max="10766" width="12.42578125" bestFit="1" customWidth="1"/>
    <col min="10767" max="10767" width="13.5703125" bestFit="1" customWidth="1"/>
    <col min="11009" max="11009" width="11.42578125" customWidth="1"/>
    <col min="11010" max="11010" width="57" bestFit="1" customWidth="1"/>
    <col min="11011" max="11011" width="11.7109375" bestFit="1" customWidth="1"/>
    <col min="11012" max="11012" width="11.85546875" bestFit="1" customWidth="1"/>
    <col min="11013" max="11013" width="12.7109375" bestFit="1" customWidth="1"/>
    <col min="11014" max="11014" width="12.140625" bestFit="1" customWidth="1"/>
    <col min="11015" max="11015" width="12.42578125" bestFit="1" customWidth="1"/>
    <col min="11016" max="11016" width="12.7109375" bestFit="1" customWidth="1"/>
    <col min="11017" max="11017" width="11.28515625" bestFit="1" customWidth="1"/>
    <col min="11018" max="11018" width="12.42578125" bestFit="1" customWidth="1"/>
    <col min="11019" max="11020" width="12.140625" bestFit="1" customWidth="1"/>
    <col min="11021" max="11022" width="12.42578125" bestFit="1" customWidth="1"/>
    <col min="11023" max="11023" width="13.5703125" bestFit="1" customWidth="1"/>
    <col min="11265" max="11265" width="11.42578125" customWidth="1"/>
    <col min="11266" max="11266" width="57" bestFit="1" customWidth="1"/>
    <col min="11267" max="11267" width="11.7109375" bestFit="1" customWidth="1"/>
    <col min="11268" max="11268" width="11.85546875" bestFit="1" customWidth="1"/>
    <col min="11269" max="11269" width="12.7109375" bestFit="1" customWidth="1"/>
    <col min="11270" max="11270" width="12.140625" bestFit="1" customWidth="1"/>
    <col min="11271" max="11271" width="12.42578125" bestFit="1" customWidth="1"/>
    <col min="11272" max="11272" width="12.7109375" bestFit="1" customWidth="1"/>
    <col min="11273" max="11273" width="11.28515625" bestFit="1" customWidth="1"/>
    <col min="11274" max="11274" width="12.42578125" bestFit="1" customWidth="1"/>
    <col min="11275" max="11276" width="12.140625" bestFit="1" customWidth="1"/>
    <col min="11277" max="11278" width="12.42578125" bestFit="1" customWidth="1"/>
    <col min="11279" max="11279" width="13.5703125" bestFit="1" customWidth="1"/>
    <col min="11521" max="11521" width="11.42578125" customWidth="1"/>
    <col min="11522" max="11522" width="57" bestFit="1" customWidth="1"/>
    <col min="11523" max="11523" width="11.7109375" bestFit="1" customWidth="1"/>
    <col min="11524" max="11524" width="11.85546875" bestFit="1" customWidth="1"/>
    <col min="11525" max="11525" width="12.7109375" bestFit="1" customWidth="1"/>
    <col min="11526" max="11526" width="12.140625" bestFit="1" customWidth="1"/>
    <col min="11527" max="11527" width="12.42578125" bestFit="1" customWidth="1"/>
    <col min="11528" max="11528" width="12.7109375" bestFit="1" customWidth="1"/>
    <col min="11529" max="11529" width="11.28515625" bestFit="1" customWidth="1"/>
    <col min="11530" max="11530" width="12.42578125" bestFit="1" customWidth="1"/>
    <col min="11531" max="11532" width="12.140625" bestFit="1" customWidth="1"/>
    <col min="11533" max="11534" width="12.42578125" bestFit="1" customWidth="1"/>
    <col min="11535" max="11535" width="13.5703125" bestFit="1" customWidth="1"/>
    <col min="11777" max="11777" width="11.42578125" customWidth="1"/>
    <col min="11778" max="11778" width="57" bestFit="1" customWidth="1"/>
    <col min="11779" max="11779" width="11.7109375" bestFit="1" customWidth="1"/>
    <col min="11780" max="11780" width="11.85546875" bestFit="1" customWidth="1"/>
    <col min="11781" max="11781" width="12.7109375" bestFit="1" customWidth="1"/>
    <col min="11782" max="11782" width="12.140625" bestFit="1" customWidth="1"/>
    <col min="11783" max="11783" width="12.42578125" bestFit="1" customWidth="1"/>
    <col min="11784" max="11784" width="12.7109375" bestFit="1" customWidth="1"/>
    <col min="11785" max="11785" width="11.28515625" bestFit="1" customWidth="1"/>
    <col min="11786" max="11786" width="12.42578125" bestFit="1" customWidth="1"/>
    <col min="11787" max="11788" width="12.140625" bestFit="1" customWidth="1"/>
    <col min="11789" max="11790" width="12.42578125" bestFit="1" customWidth="1"/>
    <col min="11791" max="11791" width="13.5703125" bestFit="1" customWidth="1"/>
    <col min="12033" max="12033" width="11.42578125" customWidth="1"/>
    <col min="12034" max="12034" width="57" bestFit="1" customWidth="1"/>
    <col min="12035" max="12035" width="11.7109375" bestFit="1" customWidth="1"/>
    <col min="12036" max="12036" width="11.85546875" bestFit="1" customWidth="1"/>
    <col min="12037" max="12037" width="12.7109375" bestFit="1" customWidth="1"/>
    <col min="12038" max="12038" width="12.140625" bestFit="1" customWidth="1"/>
    <col min="12039" max="12039" width="12.42578125" bestFit="1" customWidth="1"/>
    <col min="12040" max="12040" width="12.7109375" bestFit="1" customWidth="1"/>
    <col min="12041" max="12041" width="11.28515625" bestFit="1" customWidth="1"/>
    <col min="12042" max="12042" width="12.42578125" bestFit="1" customWidth="1"/>
    <col min="12043" max="12044" width="12.140625" bestFit="1" customWidth="1"/>
    <col min="12045" max="12046" width="12.42578125" bestFit="1" customWidth="1"/>
    <col min="12047" max="12047" width="13.5703125" bestFit="1" customWidth="1"/>
    <col min="12289" max="12289" width="11.42578125" customWidth="1"/>
    <col min="12290" max="12290" width="57" bestFit="1" customWidth="1"/>
    <col min="12291" max="12291" width="11.7109375" bestFit="1" customWidth="1"/>
    <col min="12292" max="12292" width="11.85546875" bestFit="1" customWidth="1"/>
    <col min="12293" max="12293" width="12.7109375" bestFit="1" customWidth="1"/>
    <col min="12294" max="12294" width="12.140625" bestFit="1" customWidth="1"/>
    <col min="12295" max="12295" width="12.42578125" bestFit="1" customWidth="1"/>
    <col min="12296" max="12296" width="12.7109375" bestFit="1" customWidth="1"/>
    <col min="12297" max="12297" width="11.28515625" bestFit="1" customWidth="1"/>
    <col min="12298" max="12298" width="12.42578125" bestFit="1" customWidth="1"/>
    <col min="12299" max="12300" width="12.140625" bestFit="1" customWidth="1"/>
    <col min="12301" max="12302" width="12.42578125" bestFit="1" customWidth="1"/>
    <col min="12303" max="12303" width="13.5703125" bestFit="1" customWidth="1"/>
    <col min="12545" max="12545" width="11.42578125" customWidth="1"/>
    <col min="12546" max="12546" width="57" bestFit="1" customWidth="1"/>
    <col min="12547" max="12547" width="11.7109375" bestFit="1" customWidth="1"/>
    <col min="12548" max="12548" width="11.85546875" bestFit="1" customWidth="1"/>
    <col min="12549" max="12549" width="12.7109375" bestFit="1" customWidth="1"/>
    <col min="12550" max="12550" width="12.140625" bestFit="1" customWidth="1"/>
    <col min="12551" max="12551" width="12.42578125" bestFit="1" customWidth="1"/>
    <col min="12552" max="12552" width="12.7109375" bestFit="1" customWidth="1"/>
    <col min="12553" max="12553" width="11.28515625" bestFit="1" customWidth="1"/>
    <col min="12554" max="12554" width="12.42578125" bestFit="1" customWidth="1"/>
    <col min="12555" max="12556" width="12.140625" bestFit="1" customWidth="1"/>
    <col min="12557" max="12558" width="12.42578125" bestFit="1" customWidth="1"/>
    <col min="12559" max="12559" width="13.5703125" bestFit="1" customWidth="1"/>
    <col min="12801" max="12801" width="11.42578125" customWidth="1"/>
    <col min="12802" max="12802" width="57" bestFit="1" customWidth="1"/>
    <col min="12803" max="12803" width="11.7109375" bestFit="1" customWidth="1"/>
    <col min="12804" max="12804" width="11.85546875" bestFit="1" customWidth="1"/>
    <col min="12805" max="12805" width="12.7109375" bestFit="1" customWidth="1"/>
    <col min="12806" max="12806" width="12.140625" bestFit="1" customWidth="1"/>
    <col min="12807" max="12807" width="12.42578125" bestFit="1" customWidth="1"/>
    <col min="12808" max="12808" width="12.7109375" bestFit="1" customWidth="1"/>
    <col min="12809" max="12809" width="11.28515625" bestFit="1" customWidth="1"/>
    <col min="12810" max="12810" width="12.42578125" bestFit="1" customWidth="1"/>
    <col min="12811" max="12812" width="12.140625" bestFit="1" customWidth="1"/>
    <col min="12813" max="12814" width="12.42578125" bestFit="1" customWidth="1"/>
    <col min="12815" max="12815" width="13.5703125" bestFit="1" customWidth="1"/>
    <col min="13057" max="13057" width="11.42578125" customWidth="1"/>
    <col min="13058" max="13058" width="57" bestFit="1" customWidth="1"/>
    <col min="13059" max="13059" width="11.7109375" bestFit="1" customWidth="1"/>
    <col min="13060" max="13060" width="11.85546875" bestFit="1" customWidth="1"/>
    <col min="13061" max="13061" width="12.7109375" bestFit="1" customWidth="1"/>
    <col min="13062" max="13062" width="12.140625" bestFit="1" customWidth="1"/>
    <col min="13063" max="13063" width="12.42578125" bestFit="1" customWidth="1"/>
    <col min="13064" max="13064" width="12.7109375" bestFit="1" customWidth="1"/>
    <col min="13065" max="13065" width="11.28515625" bestFit="1" customWidth="1"/>
    <col min="13066" max="13066" width="12.42578125" bestFit="1" customWidth="1"/>
    <col min="13067" max="13068" width="12.140625" bestFit="1" customWidth="1"/>
    <col min="13069" max="13070" width="12.42578125" bestFit="1" customWidth="1"/>
    <col min="13071" max="13071" width="13.5703125" bestFit="1" customWidth="1"/>
    <col min="13313" max="13313" width="11.42578125" customWidth="1"/>
    <col min="13314" max="13314" width="57" bestFit="1" customWidth="1"/>
    <col min="13315" max="13315" width="11.7109375" bestFit="1" customWidth="1"/>
    <col min="13316" max="13316" width="11.85546875" bestFit="1" customWidth="1"/>
    <col min="13317" max="13317" width="12.7109375" bestFit="1" customWidth="1"/>
    <col min="13318" max="13318" width="12.140625" bestFit="1" customWidth="1"/>
    <col min="13319" max="13319" width="12.42578125" bestFit="1" customWidth="1"/>
    <col min="13320" max="13320" width="12.7109375" bestFit="1" customWidth="1"/>
    <col min="13321" max="13321" width="11.28515625" bestFit="1" customWidth="1"/>
    <col min="13322" max="13322" width="12.42578125" bestFit="1" customWidth="1"/>
    <col min="13323" max="13324" width="12.140625" bestFit="1" customWidth="1"/>
    <col min="13325" max="13326" width="12.42578125" bestFit="1" customWidth="1"/>
    <col min="13327" max="13327" width="13.5703125" bestFit="1" customWidth="1"/>
    <col min="13569" max="13569" width="11.42578125" customWidth="1"/>
    <col min="13570" max="13570" width="57" bestFit="1" customWidth="1"/>
    <col min="13571" max="13571" width="11.7109375" bestFit="1" customWidth="1"/>
    <col min="13572" max="13572" width="11.85546875" bestFit="1" customWidth="1"/>
    <col min="13573" max="13573" width="12.7109375" bestFit="1" customWidth="1"/>
    <col min="13574" max="13574" width="12.140625" bestFit="1" customWidth="1"/>
    <col min="13575" max="13575" width="12.42578125" bestFit="1" customWidth="1"/>
    <col min="13576" max="13576" width="12.7109375" bestFit="1" customWidth="1"/>
    <col min="13577" max="13577" width="11.28515625" bestFit="1" customWidth="1"/>
    <col min="13578" max="13578" width="12.42578125" bestFit="1" customWidth="1"/>
    <col min="13579" max="13580" width="12.140625" bestFit="1" customWidth="1"/>
    <col min="13581" max="13582" width="12.42578125" bestFit="1" customWidth="1"/>
    <col min="13583" max="13583" width="13.5703125" bestFit="1" customWidth="1"/>
    <col min="13825" max="13825" width="11.42578125" customWidth="1"/>
    <col min="13826" max="13826" width="57" bestFit="1" customWidth="1"/>
    <col min="13827" max="13827" width="11.7109375" bestFit="1" customWidth="1"/>
    <col min="13828" max="13828" width="11.85546875" bestFit="1" customWidth="1"/>
    <col min="13829" max="13829" width="12.7109375" bestFit="1" customWidth="1"/>
    <col min="13830" max="13830" width="12.140625" bestFit="1" customWidth="1"/>
    <col min="13831" max="13831" width="12.42578125" bestFit="1" customWidth="1"/>
    <col min="13832" max="13832" width="12.7109375" bestFit="1" customWidth="1"/>
    <col min="13833" max="13833" width="11.28515625" bestFit="1" customWidth="1"/>
    <col min="13834" max="13834" width="12.42578125" bestFit="1" customWidth="1"/>
    <col min="13835" max="13836" width="12.140625" bestFit="1" customWidth="1"/>
    <col min="13837" max="13838" width="12.42578125" bestFit="1" customWidth="1"/>
    <col min="13839" max="13839" width="13.5703125" bestFit="1" customWidth="1"/>
    <col min="14081" max="14081" width="11.42578125" customWidth="1"/>
    <col min="14082" max="14082" width="57" bestFit="1" customWidth="1"/>
    <col min="14083" max="14083" width="11.7109375" bestFit="1" customWidth="1"/>
    <col min="14084" max="14084" width="11.85546875" bestFit="1" customWidth="1"/>
    <col min="14085" max="14085" width="12.7109375" bestFit="1" customWidth="1"/>
    <col min="14086" max="14086" width="12.140625" bestFit="1" customWidth="1"/>
    <col min="14087" max="14087" width="12.42578125" bestFit="1" customWidth="1"/>
    <col min="14088" max="14088" width="12.7109375" bestFit="1" customWidth="1"/>
    <col min="14089" max="14089" width="11.28515625" bestFit="1" customWidth="1"/>
    <col min="14090" max="14090" width="12.42578125" bestFit="1" customWidth="1"/>
    <col min="14091" max="14092" width="12.140625" bestFit="1" customWidth="1"/>
    <col min="14093" max="14094" width="12.42578125" bestFit="1" customWidth="1"/>
    <col min="14095" max="14095" width="13.5703125" bestFit="1" customWidth="1"/>
    <col min="14337" max="14337" width="11.42578125" customWidth="1"/>
    <col min="14338" max="14338" width="57" bestFit="1" customWidth="1"/>
    <col min="14339" max="14339" width="11.7109375" bestFit="1" customWidth="1"/>
    <col min="14340" max="14340" width="11.85546875" bestFit="1" customWidth="1"/>
    <col min="14341" max="14341" width="12.7109375" bestFit="1" customWidth="1"/>
    <col min="14342" max="14342" width="12.140625" bestFit="1" customWidth="1"/>
    <col min="14343" max="14343" width="12.42578125" bestFit="1" customWidth="1"/>
    <col min="14344" max="14344" width="12.7109375" bestFit="1" customWidth="1"/>
    <col min="14345" max="14345" width="11.28515625" bestFit="1" customWidth="1"/>
    <col min="14346" max="14346" width="12.42578125" bestFit="1" customWidth="1"/>
    <col min="14347" max="14348" width="12.140625" bestFit="1" customWidth="1"/>
    <col min="14349" max="14350" width="12.42578125" bestFit="1" customWidth="1"/>
    <col min="14351" max="14351" width="13.5703125" bestFit="1" customWidth="1"/>
    <col min="14593" max="14593" width="11.42578125" customWidth="1"/>
    <col min="14594" max="14594" width="57" bestFit="1" customWidth="1"/>
    <col min="14595" max="14595" width="11.7109375" bestFit="1" customWidth="1"/>
    <col min="14596" max="14596" width="11.85546875" bestFit="1" customWidth="1"/>
    <col min="14597" max="14597" width="12.7109375" bestFit="1" customWidth="1"/>
    <col min="14598" max="14598" width="12.140625" bestFit="1" customWidth="1"/>
    <col min="14599" max="14599" width="12.42578125" bestFit="1" customWidth="1"/>
    <col min="14600" max="14600" width="12.7109375" bestFit="1" customWidth="1"/>
    <col min="14601" max="14601" width="11.28515625" bestFit="1" customWidth="1"/>
    <col min="14602" max="14602" width="12.42578125" bestFit="1" customWidth="1"/>
    <col min="14603" max="14604" width="12.140625" bestFit="1" customWidth="1"/>
    <col min="14605" max="14606" width="12.42578125" bestFit="1" customWidth="1"/>
    <col min="14607" max="14607" width="13.5703125" bestFit="1" customWidth="1"/>
    <col min="14849" max="14849" width="11.42578125" customWidth="1"/>
    <col min="14850" max="14850" width="57" bestFit="1" customWidth="1"/>
    <col min="14851" max="14851" width="11.7109375" bestFit="1" customWidth="1"/>
    <col min="14852" max="14852" width="11.85546875" bestFit="1" customWidth="1"/>
    <col min="14853" max="14853" width="12.7109375" bestFit="1" customWidth="1"/>
    <col min="14854" max="14854" width="12.140625" bestFit="1" customWidth="1"/>
    <col min="14855" max="14855" width="12.42578125" bestFit="1" customWidth="1"/>
    <col min="14856" max="14856" width="12.7109375" bestFit="1" customWidth="1"/>
    <col min="14857" max="14857" width="11.28515625" bestFit="1" customWidth="1"/>
    <col min="14858" max="14858" width="12.42578125" bestFit="1" customWidth="1"/>
    <col min="14859" max="14860" width="12.140625" bestFit="1" customWidth="1"/>
    <col min="14861" max="14862" width="12.42578125" bestFit="1" customWidth="1"/>
    <col min="14863" max="14863" width="13.5703125" bestFit="1" customWidth="1"/>
    <col min="15105" max="15105" width="11.42578125" customWidth="1"/>
    <col min="15106" max="15106" width="57" bestFit="1" customWidth="1"/>
    <col min="15107" max="15107" width="11.7109375" bestFit="1" customWidth="1"/>
    <col min="15108" max="15108" width="11.85546875" bestFit="1" customWidth="1"/>
    <col min="15109" max="15109" width="12.7109375" bestFit="1" customWidth="1"/>
    <col min="15110" max="15110" width="12.140625" bestFit="1" customWidth="1"/>
    <col min="15111" max="15111" width="12.42578125" bestFit="1" customWidth="1"/>
    <col min="15112" max="15112" width="12.7109375" bestFit="1" customWidth="1"/>
    <col min="15113" max="15113" width="11.28515625" bestFit="1" customWidth="1"/>
    <col min="15114" max="15114" width="12.42578125" bestFit="1" customWidth="1"/>
    <col min="15115" max="15116" width="12.140625" bestFit="1" customWidth="1"/>
    <col min="15117" max="15118" width="12.42578125" bestFit="1" customWidth="1"/>
    <col min="15119" max="15119" width="13.5703125" bestFit="1" customWidth="1"/>
    <col min="15361" max="15361" width="11.42578125" customWidth="1"/>
    <col min="15362" max="15362" width="57" bestFit="1" customWidth="1"/>
    <col min="15363" max="15363" width="11.7109375" bestFit="1" customWidth="1"/>
    <col min="15364" max="15364" width="11.85546875" bestFit="1" customWidth="1"/>
    <col min="15365" max="15365" width="12.7109375" bestFit="1" customWidth="1"/>
    <col min="15366" max="15366" width="12.140625" bestFit="1" customWidth="1"/>
    <col min="15367" max="15367" width="12.42578125" bestFit="1" customWidth="1"/>
    <col min="15368" max="15368" width="12.7109375" bestFit="1" customWidth="1"/>
    <col min="15369" max="15369" width="11.28515625" bestFit="1" customWidth="1"/>
    <col min="15370" max="15370" width="12.42578125" bestFit="1" customWidth="1"/>
    <col min="15371" max="15372" width="12.140625" bestFit="1" customWidth="1"/>
    <col min="15373" max="15374" width="12.42578125" bestFit="1" customWidth="1"/>
    <col min="15375" max="15375" width="13.5703125" bestFit="1" customWidth="1"/>
    <col min="15617" max="15617" width="11.42578125" customWidth="1"/>
    <col min="15618" max="15618" width="57" bestFit="1" customWidth="1"/>
    <col min="15619" max="15619" width="11.7109375" bestFit="1" customWidth="1"/>
    <col min="15620" max="15620" width="11.85546875" bestFit="1" customWidth="1"/>
    <col min="15621" max="15621" width="12.7109375" bestFit="1" customWidth="1"/>
    <col min="15622" max="15622" width="12.140625" bestFit="1" customWidth="1"/>
    <col min="15623" max="15623" width="12.42578125" bestFit="1" customWidth="1"/>
    <col min="15624" max="15624" width="12.7109375" bestFit="1" customWidth="1"/>
    <col min="15625" max="15625" width="11.28515625" bestFit="1" customWidth="1"/>
    <col min="15626" max="15626" width="12.42578125" bestFit="1" customWidth="1"/>
    <col min="15627" max="15628" width="12.140625" bestFit="1" customWidth="1"/>
    <col min="15629" max="15630" width="12.42578125" bestFit="1" customWidth="1"/>
    <col min="15631" max="15631" width="13.5703125" bestFit="1" customWidth="1"/>
    <col min="15873" max="15873" width="11.42578125" customWidth="1"/>
    <col min="15874" max="15874" width="57" bestFit="1" customWidth="1"/>
    <col min="15875" max="15875" width="11.7109375" bestFit="1" customWidth="1"/>
    <col min="15876" max="15876" width="11.85546875" bestFit="1" customWidth="1"/>
    <col min="15877" max="15877" width="12.7109375" bestFit="1" customWidth="1"/>
    <col min="15878" max="15878" width="12.140625" bestFit="1" customWidth="1"/>
    <col min="15879" max="15879" width="12.42578125" bestFit="1" customWidth="1"/>
    <col min="15880" max="15880" width="12.7109375" bestFit="1" customWidth="1"/>
    <col min="15881" max="15881" width="11.28515625" bestFit="1" customWidth="1"/>
    <col min="15882" max="15882" width="12.42578125" bestFit="1" customWidth="1"/>
    <col min="15883" max="15884" width="12.140625" bestFit="1" customWidth="1"/>
    <col min="15885" max="15886" width="12.42578125" bestFit="1" customWidth="1"/>
    <col min="15887" max="15887" width="13.5703125" bestFit="1" customWidth="1"/>
    <col min="16129" max="16129" width="11.42578125" customWidth="1"/>
    <col min="16130" max="16130" width="57" bestFit="1" customWidth="1"/>
    <col min="16131" max="16131" width="11.7109375" bestFit="1" customWidth="1"/>
    <col min="16132" max="16132" width="11.85546875" bestFit="1" customWidth="1"/>
    <col min="16133" max="16133" width="12.7109375" bestFit="1" customWidth="1"/>
    <col min="16134" max="16134" width="12.140625" bestFit="1" customWidth="1"/>
    <col min="16135" max="16135" width="12.42578125" bestFit="1" customWidth="1"/>
    <col min="16136" max="16136" width="12.7109375" bestFit="1" customWidth="1"/>
    <col min="16137" max="16137" width="11.28515625" bestFit="1" customWidth="1"/>
    <col min="16138" max="16138" width="12.42578125" bestFit="1" customWidth="1"/>
    <col min="16139" max="16140" width="12.140625" bestFit="1" customWidth="1"/>
    <col min="16141" max="16142" width="12.42578125" bestFit="1" customWidth="1"/>
    <col min="16143" max="16143" width="13.5703125" bestFit="1" customWidth="1"/>
  </cols>
  <sheetData>
    <row r="2" spans="1:15" ht="19.5" x14ac:dyDescent="0.3">
      <c r="A2" s="4" t="s">
        <v>1238</v>
      </c>
    </row>
    <row r="3" spans="1:15" ht="18.75" customHeight="1" thickBot="1" x14ac:dyDescent="0.25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40"/>
    </row>
    <row r="4" spans="1:15" ht="42.75" customHeight="1" thickTop="1" thickBot="1" x14ac:dyDescent="0.25">
      <c r="A4" s="10" t="s">
        <v>0</v>
      </c>
      <c r="B4" s="11" t="s">
        <v>1</v>
      </c>
      <c r="C4" s="41">
        <v>43831</v>
      </c>
      <c r="D4" s="41">
        <v>43862</v>
      </c>
      <c r="E4" s="41">
        <v>43891</v>
      </c>
      <c r="F4" s="41">
        <v>43922</v>
      </c>
      <c r="G4" s="41">
        <v>43952</v>
      </c>
      <c r="H4" s="41">
        <v>43983</v>
      </c>
      <c r="I4" s="41">
        <v>44013</v>
      </c>
      <c r="J4" s="41">
        <v>44044</v>
      </c>
      <c r="K4" s="41">
        <v>44075</v>
      </c>
      <c r="L4" s="41">
        <v>44105</v>
      </c>
      <c r="M4" s="41">
        <v>44136</v>
      </c>
      <c r="N4" s="41">
        <v>44166</v>
      </c>
      <c r="O4" s="42" t="s">
        <v>804</v>
      </c>
    </row>
    <row r="5" spans="1:15" ht="13.5" thickTop="1" x14ac:dyDescent="0.2">
      <c r="A5" s="19"/>
      <c r="B5" s="20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43">
        <f>O6+O62</f>
        <v>0</v>
      </c>
    </row>
    <row r="6" spans="1:15" x14ac:dyDescent="0.2">
      <c r="A6" s="19"/>
      <c r="B6" s="20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43">
        <f>O7-O31+O52</f>
        <v>0</v>
      </c>
    </row>
    <row r="7" spans="1:15" x14ac:dyDescent="0.2">
      <c r="A7" s="19"/>
      <c r="B7" s="20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43">
        <f>SUM(C7:N7)</f>
        <v>0</v>
      </c>
    </row>
    <row r="8" spans="1:15" x14ac:dyDescent="0.2">
      <c r="A8" s="19">
        <v>116085</v>
      </c>
      <c r="B8" s="20" t="s">
        <v>3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43">
        <f t="shared" ref="O8:O28" si="0">SUM(C8:N8)</f>
        <v>0</v>
      </c>
    </row>
    <row r="9" spans="1:15" x14ac:dyDescent="0.2">
      <c r="A9" s="19">
        <v>116090</v>
      </c>
      <c r="B9" s="20" t="s">
        <v>4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43">
        <f t="shared" si="0"/>
        <v>0</v>
      </c>
    </row>
    <row r="10" spans="1:15" x14ac:dyDescent="0.2">
      <c r="A10" s="19">
        <v>116095</v>
      </c>
      <c r="B10" s="20" t="s">
        <v>5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43">
        <f t="shared" si="0"/>
        <v>0</v>
      </c>
    </row>
    <row r="11" spans="1:15" x14ac:dyDescent="0.2">
      <c r="A11" s="19">
        <v>116097</v>
      </c>
      <c r="B11" s="20" t="s">
        <v>6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43">
        <f t="shared" si="0"/>
        <v>0</v>
      </c>
    </row>
    <row r="12" spans="1:15" x14ac:dyDescent="0.2">
      <c r="A12" s="19">
        <v>117095</v>
      </c>
      <c r="B12" s="20" t="s">
        <v>7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43">
        <f t="shared" si="0"/>
        <v>0</v>
      </c>
    </row>
    <row r="13" spans="1:15" x14ac:dyDescent="0.2">
      <c r="A13" s="19">
        <v>118110</v>
      </c>
      <c r="B13" s="20" t="s">
        <v>8</v>
      </c>
      <c r="C13" s="17"/>
      <c r="D13" s="17">
        <v>8391.41</v>
      </c>
      <c r="E13" s="17"/>
      <c r="F13" s="17"/>
      <c r="G13" s="17"/>
      <c r="H13" s="17"/>
      <c r="I13" s="17"/>
      <c r="J13" s="17"/>
      <c r="K13" s="17"/>
      <c r="L13" s="17"/>
      <c r="M13" s="17">
        <v>0.01</v>
      </c>
      <c r="N13" s="17"/>
      <c r="O13" s="43">
        <f t="shared" si="0"/>
        <v>8391.42</v>
      </c>
    </row>
    <row r="14" spans="1:15" x14ac:dyDescent="0.2">
      <c r="A14" s="19">
        <v>118115</v>
      </c>
      <c r="B14" s="20" t="s">
        <v>9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43">
        <f t="shared" si="0"/>
        <v>0</v>
      </c>
    </row>
    <row r="15" spans="1:15" x14ac:dyDescent="0.2">
      <c r="A15" s="19">
        <v>118135</v>
      </c>
      <c r="B15" s="20" t="s">
        <v>59</v>
      </c>
      <c r="C15" s="17"/>
      <c r="D15" s="17">
        <v>62454.96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43">
        <f t="shared" si="0"/>
        <v>62454.96</v>
      </c>
    </row>
    <row r="16" spans="1:15" x14ac:dyDescent="0.2">
      <c r="A16" s="19">
        <v>118140</v>
      </c>
      <c r="B16" s="20" t="s">
        <v>12</v>
      </c>
      <c r="C16" s="17"/>
      <c r="D16" s="44"/>
      <c r="E16" s="44"/>
      <c r="F16" s="44"/>
      <c r="G16" s="44"/>
      <c r="H16" s="44"/>
      <c r="I16" s="17"/>
      <c r="J16" s="17"/>
      <c r="K16" s="17"/>
      <c r="L16" s="17"/>
      <c r="M16" s="17"/>
      <c r="N16" s="17"/>
      <c r="O16" s="43">
        <f t="shared" si="0"/>
        <v>0</v>
      </c>
    </row>
    <row r="17" spans="1:15" x14ac:dyDescent="0.2">
      <c r="A17" s="19">
        <v>118150</v>
      </c>
      <c r="B17" s="20" t="s">
        <v>13</v>
      </c>
      <c r="C17" s="17"/>
      <c r="D17" s="44"/>
      <c r="E17" s="44"/>
      <c r="F17" s="44"/>
      <c r="G17" s="44"/>
      <c r="H17" s="44"/>
      <c r="I17" s="17"/>
      <c r="J17" s="17"/>
      <c r="K17" s="17"/>
      <c r="L17" s="17"/>
      <c r="M17" s="17"/>
      <c r="N17" s="17"/>
      <c r="O17" s="43">
        <f t="shared" si="0"/>
        <v>0</v>
      </c>
    </row>
    <row r="18" spans="1:15" x14ac:dyDescent="0.2">
      <c r="A18" s="19">
        <v>118155</v>
      </c>
      <c r="B18" s="20" t="s">
        <v>14</v>
      </c>
      <c r="C18" s="17"/>
      <c r="D18" s="44"/>
      <c r="E18" s="44"/>
      <c r="F18" s="44"/>
      <c r="G18" s="44"/>
      <c r="H18" s="44"/>
      <c r="I18" s="17"/>
      <c r="J18" s="17"/>
      <c r="K18" s="17"/>
      <c r="L18" s="17"/>
      <c r="M18" s="17"/>
      <c r="N18" s="17"/>
      <c r="O18" s="43">
        <f t="shared" si="0"/>
        <v>0</v>
      </c>
    </row>
    <row r="19" spans="1:15" x14ac:dyDescent="0.2">
      <c r="A19" s="19">
        <v>119155</v>
      </c>
      <c r="B19" s="20" t="s">
        <v>15</v>
      </c>
      <c r="C19" s="17"/>
      <c r="D19" s="17">
        <v>17882.39</v>
      </c>
      <c r="E19" s="44">
        <v>236.8</v>
      </c>
      <c r="F19" s="44"/>
      <c r="G19" s="44"/>
      <c r="H19" s="44"/>
      <c r="I19" s="17"/>
      <c r="J19" s="17"/>
      <c r="K19" s="17"/>
      <c r="L19" s="17"/>
      <c r="M19" s="17">
        <v>0.01</v>
      </c>
      <c r="N19" s="17"/>
      <c r="O19" s="43">
        <f t="shared" si="0"/>
        <v>18119.199999999997</v>
      </c>
    </row>
    <row r="20" spans="1:15" x14ac:dyDescent="0.2">
      <c r="A20" s="19">
        <v>119160</v>
      </c>
      <c r="B20" s="20" t="s">
        <v>16</v>
      </c>
      <c r="C20" s="17"/>
      <c r="D20" s="44"/>
      <c r="E20" s="44"/>
      <c r="F20" s="44"/>
      <c r="G20" s="44"/>
      <c r="H20" s="44"/>
      <c r="I20" s="17"/>
      <c r="J20" s="17"/>
      <c r="K20" s="17"/>
      <c r="L20" s="17"/>
      <c r="M20" s="17"/>
      <c r="N20" s="17"/>
      <c r="O20" s="43">
        <f t="shared" si="0"/>
        <v>0</v>
      </c>
    </row>
    <row r="21" spans="1:15" x14ac:dyDescent="0.2">
      <c r="A21" s="19">
        <v>119162</v>
      </c>
      <c r="B21" s="20" t="s">
        <v>17</v>
      </c>
      <c r="C21" s="17"/>
      <c r="D21" s="44"/>
      <c r="E21" s="44"/>
      <c r="F21" s="44"/>
      <c r="G21" s="44"/>
      <c r="H21" s="44"/>
      <c r="I21" s="17"/>
      <c r="J21" s="17"/>
      <c r="K21" s="17"/>
      <c r="L21" s="17"/>
      <c r="M21" s="17"/>
      <c r="N21" s="17"/>
      <c r="O21" s="43">
        <f t="shared" si="0"/>
        <v>0</v>
      </c>
    </row>
    <row r="22" spans="1:15" x14ac:dyDescent="0.2">
      <c r="A22" s="19">
        <v>120185</v>
      </c>
      <c r="B22" s="20" t="s">
        <v>18</v>
      </c>
      <c r="C22" s="17"/>
      <c r="D22" s="44"/>
      <c r="E22" s="44"/>
      <c r="F22" s="44"/>
      <c r="G22" s="44"/>
      <c r="H22" s="44"/>
      <c r="I22" s="17"/>
      <c r="J22" s="17"/>
      <c r="K22" s="17"/>
      <c r="L22" s="17"/>
      <c r="M22" s="17"/>
      <c r="N22" s="17"/>
      <c r="O22" s="43">
        <f t="shared" si="0"/>
        <v>0</v>
      </c>
    </row>
    <row r="23" spans="1:15" x14ac:dyDescent="0.2">
      <c r="A23" s="19">
        <v>122200</v>
      </c>
      <c r="B23" s="20" t="s">
        <v>19</v>
      </c>
      <c r="C23" s="17"/>
      <c r="D23" s="44"/>
      <c r="E23" s="44"/>
      <c r="F23" s="44"/>
      <c r="G23" s="44"/>
      <c r="H23" s="44"/>
      <c r="I23" s="17"/>
      <c r="J23" s="17"/>
      <c r="K23" s="17"/>
      <c r="L23" s="17"/>
      <c r="M23" s="17"/>
      <c r="N23" s="17"/>
      <c r="O23" s="43">
        <f t="shared" si="0"/>
        <v>0</v>
      </c>
    </row>
    <row r="24" spans="1:15" x14ac:dyDescent="0.2">
      <c r="A24" s="19">
        <v>123505</v>
      </c>
      <c r="B24" s="20" t="s">
        <v>20</v>
      </c>
      <c r="C24" s="17"/>
      <c r="D24" s="44"/>
      <c r="E24" s="44"/>
      <c r="F24" s="44"/>
      <c r="G24" s="44"/>
      <c r="H24" s="44"/>
      <c r="I24" s="17"/>
      <c r="J24" s="17"/>
      <c r="K24" s="17"/>
      <c r="L24" s="17"/>
      <c r="M24" s="17"/>
      <c r="N24" s="17"/>
      <c r="O24" s="43">
        <f t="shared" si="0"/>
        <v>0</v>
      </c>
    </row>
    <row r="25" spans="1:15" x14ac:dyDescent="0.2">
      <c r="A25" s="19">
        <v>123510</v>
      </c>
      <c r="B25" s="20" t="s">
        <v>21</v>
      </c>
      <c r="C25" s="17"/>
      <c r="D25" s="44"/>
      <c r="E25" s="44"/>
      <c r="F25" s="44"/>
      <c r="G25" s="44"/>
      <c r="H25" s="44"/>
      <c r="I25" s="17"/>
      <c r="J25" s="17"/>
      <c r="K25" s="17"/>
      <c r="L25" s="17"/>
      <c r="M25" s="17"/>
      <c r="N25" s="17"/>
      <c r="O25" s="43">
        <f t="shared" si="0"/>
        <v>0</v>
      </c>
    </row>
    <row r="26" spans="1:15" x14ac:dyDescent="0.2">
      <c r="A26" s="19">
        <v>123515</v>
      </c>
      <c r="B26" s="20" t="s">
        <v>22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43">
        <f t="shared" si="0"/>
        <v>0</v>
      </c>
    </row>
    <row r="27" spans="1:15" x14ac:dyDescent="0.2">
      <c r="A27" s="19">
        <v>123520</v>
      </c>
      <c r="B27" s="20" t="s">
        <v>23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43">
        <f t="shared" si="0"/>
        <v>0</v>
      </c>
    </row>
    <row r="28" spans="1:15" x14ac:dyDescent="0.2">
      <c r="A28" s="19">
        <v>123525</v>
      </c>
      <c r="B28" s="20" t="s">
        <v>24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43">
        <f t="shared" si="0"/>
        <v>0</v>
      </c>
    </row>
    <row r="29" spans="1:15" x14ac:dyDescent="0.2">
      <c r="A29" s="19"/>
      <c r="B29" s="20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43"/>
    </row>
    <row r="30" spans="1:15" x14ac:dyDescent="0.2">
      <c r="A30" s="19"/>
      <c r="B30" s="20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43"/>
    </row>
    <row r="31" spans="1:15" x14ac:dyDescent="0.2">
      <c r="A31" s="19">
        <v>124210</v>
      </c>
      <c r="B31" s="20" t="s">
        <v>251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43">
        <f>SUM(C31:N31)</f>
        <v>0</v>
      </c>
    </row>
    <row r="32" spans="1:15" x14ac:dyDescent="0.2">
      <c r="A32" s="19">
        <v>124225</v>
      </c>
      <c r="B32" s="20" t="s">
        <v>685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43">
        <f t="shared" ref="O32:O48" si="1">SUM(C32:N32)</f>
        <v>0</v>
      </c>
    </row>
    <row r="33" spans="1:15" x14ac:dyDescent="0.2">
      <c r="A33" s="19">
        <v>124230</v>
      </c>
      <c r="B33" s="20" t="s">
        <v>686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43">
        <f t="shared" si="1"/>
        <v>0</v>
      </c>
    </row>
    <row r="34" spans="1:15" x14ac:dyDescent="0.2">
      <c r="A34" s="19">
        <v>124231</v>
      </c>
      <c r="B34" s="20" t="s">
        <v>687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43">
        <f t="shared" si="1"/>
        <v>0</v>
      </c>
    </row>
    <row r="35" spans="1:15" x14ac:dyDescent="0.2">
      <c r="A35" s="19">
        <v>124235</v>
      </c>
      <c r="B35" s="20" t="s">
        <v>689</v>
      </c>
      <c r="C35" s="17"/>
      <c r="D35" s="17">
        <v>7910.07</v>
      </c>
      <c r="E35" s="17"/>
      <c r="F35" s="17"/>
      <c r="G35" s="17"/>
      <c r="H35" s="17"/>
      <c r="I35" s="17"/>
      <c r="J35" s="17"/>
      <c r="K35" s="17"/>
      <c r="L35" s="17"/>
      <c r="M35" s="17">
        <v>0.01</v>
      </c>
      <c r="N35" s="17"/>
      <c r="O35" s="43">
        <f t="shared" si="1"/>
        <v>7910.08</v>
      </c>
    </row>
    <row r="36" spans="1:15" x14ac:dyDescent="0.2">
      <c r="A36" s="19">
        <v>124236</v>
      </c>
      <c r="B36" s="20" t="s">
        <v>690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43">
        <f t="shared" si="1"/>
        <v>0</v>
      </c>
    </row>
    <row r="37" spans="1:15" x14ac:dyDescent="0.2">
      <c r="A37" s="19">
        <v>124255</v>
      </c>
      <c r="B37" s="20" t="s">
        <v>692</v>
      </c>
      <c r="C37" s="17"/>
      <c r="D37" s="17">
        <v>58232.47</v>
      </c>
      <c r="E37" s="17"/>
      <c r="F37" s="17"/>
      <c r="G37" s="17"/>
      <c r="H37" s="17"/>
      <c r="I37" s="17"/>
      <c r="J37" s="17"/>
      <c r="K37" s="17"/>
      <c r="L37" s="17"/>
      <c r="M37" s="17">
        <v>0</v>
      </c>
      <c r="N37" s="17"/>
      <c r="O37" s="43">
        <f t="shared" si="1"/>
        <v>58232.47</v>
      </c>
    </row>
    <row r="38" spans="1:15" x14ac:dyDescent="0.2">
      <c r="A38" s="19">
        <v>124256</v>
      </c>
      <c r="B38" s="20" t="s">
        <v>693</v>
      </c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43">
        <f t="shared" si="1"/>
        <v>0</v>
      </c>
    </row>
    <row r="39" spans="1:15" x14ac:dyDescent="0.2">
      <c r="A39" s="19">
        <v>124257</v>
      </c>
      <c r="B39" s="20" t="s">
        <v>694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43">
        <f t="shared" si="1"/>
        <v>0</v>
      </c>
    </row>
    <row r="40" spans="1:15" x14ac:dyDescent="0.2">
      <c r="A40" s="19">
        <v>124270</v>
      </c>
      <c r="B40" s="20" t="s">
        <v>696</v>
      </c>
      <c r="C40" s="17"/>
      <c r="D40" s="17">
        <v>16365.24</v>
      </c>
      <c r="E40" s="17"/>
      <c r="F40" s="17"/>
      <c r="G40" s="17"/>
      <c r="H40" s="17"/>
      <c r="I40" s="17"/>
      <c r="J40" s="17"/>
      <c r="K40" s="17"/>
      <c r="L40" s="17"/>
      <c r="M40" s="17">
        <v>0.01</v>
      </c>
      <c r="N40" s="17"/>
      <c r="O40" s="43">
        <f t="shared" si="1"/>
        <v>16365.25</v>
      </c>
    </row>
    <row r="41" spans="1:15" x14ac:dyDescent="0.2">
      <c r="A41" s="19">
        <v>124275</v>
      </c>
      <c r="B41" s="20" t="s">
        <v>697</v>
      </c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43">
        <f t="shared" si="1"/>
        <v>0</v>
      </c>
    </row>
    <row r="42" spans="1:15" x14ac:dyDescent="0.2">
      <c r="A42" s="19">
        <v>124276</v>
      </c>
      <c r="B42" s="20" t="s">
        <v>698</v>
      </c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43">
        <f t="shared" si="1"/>
        <v>0</v>
      </c>
    </row>
    <row r="43" spans="1:15" x14ac:dyDescent="0.2">
      <c r="A43" s="19">
        <v>124300</v>
      </c>
      <c r="B43" s="20" t="s">
        <v>699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43">
        <f t="shared" si="1"/>
        <v>0</v>
      </c>
    </row>
    <row r="44" spans="1:15" x14ac:dyDescent="0.2">
      <c r="A44" s="19">
        <v>124305</v>
      </c>
      <c r="B44" s="20" t="s">
        <v>700</v>
      </c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43">
        <f t="shared" si="1"/>
        <v>0</v>
      </c>
    </row>
    <row r="45" spans="1:15" x14ac:dyDescent="0.2">
      <c r="A45" s="19">
        <v>124315</v>
      </c>
      <c r="B45" s="20" t="s">
        <v>701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43">
        <f t="shared" si="1"/>
        <v>0</v>
      </c>
    </row>
    <row r="46" spans="1:15" x14ac:dyDescent="0.2">
      <c r="A46" s="19">
        <v>124320</v>
      </c>
      <c r="B46" s="20" t="s">
        <v>702</v>
      </c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43">
        <f t="shared" si="1"/>
        <v>0</v>
      </c>
    </row>
    <row r="47" spans="1:15" x14ac:dyDescent="0.2">
      <c r="A47" s="19">
        <v>124325</v>
      </c>
      <c r="B47" s="20" t="s">
        <v>703</v>
      </c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43">
        <f t="shared" si="1"/>
        <v>0</v>
      </c>
    </row>
    <row r="48" spans="1:15" x14ac:dyDescent="0.2">
      <c r="A48" s="19">
        <v>124330</v>
      </c>
      <c r="B48" s="20" t="s">
        <v>704</v>
      </c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43">
        <f t="shared" si="1"/>
        <v>0</v>
      </c>
    </row>
    <row r="49" spans="1:15" x14ac:dyDescent="0.2">
      <c r="A49" s="19"/>
      <c r="B49" s="20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43"/>
    </row>
    <row r="50" spans="1:15" x14ac:dyDescent="0.2">
      <c r="A50" s="19"/>
      <c r="B50" s="20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43"/>
    </row>
    <row r="51" spans="1:15" x14ac:dyDescent="0.2">
      <c r="A51" s="19">
        <v>125450</v>
      </c>
      <c r="B51" s="20" t="s">
        <v>27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6">
        <v>7482</v>
      </c>
      <c r="N51" s="17"/>
      <c r="O51" s="43">
        <f>-SUM(C51:N51)</f>
        <v>-7482</v>
      </c>
    </row>
    <row r="52" spans="1:15" x14ac:dyDescent="0.2">
      <c r="A52" s="19">
        <v>125505</v>
      </c>
      <c r="B52" s="20" t="s">
        <v>32</v>
      </c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43">
        <f>SUM(C52:N52)</f>
        <v>0</v>
      </c>
    </row>
    <row r="53" spans="1:15" x14ac:dyDescent="0.2">
      <c r="A53" s="19">
        <v>125516</v>
      </c>
      <c r="B53" s="78" t="s">
        <v>879</v>
      </c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>
        <v>7482</v>
      </c>
      <c r="N53" s="17"/>
      <c r="O53" s="43">
        <f>-SUM(C53:N53)</f>
        <v>-7482</v>
      </c>
    </row>
    <row r="54" spans="1:15" x14ac:dyDescent="0.2">
      <c r="A54" s="19"/>
      <c r="B54" s="20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43"/>
    </row>
    <row r="55" spans="1:15" x14ac:dyDescent="0.2">
      <c r="A55" s="19"/>
      <c r="B55" s="20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43"/>
    </row>
    <row r="56" spans="1:15" x14ac:dyDescent="0.2">
      <c r="A56" s="19"/>
      <c r="B56" s="20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43"/>
    </row>
    <row r="57" spans="1:15" x14ac:dyDescent="0.2">
      <c r="A57" s="19"/>
      <c r="B57" s="20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43"/>
    </row>
    <row r="58" spans="1:15" x14ac:dyDescent="0.2">
      <c r="A58" s="19"/>
      <c r="B58" s="20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43"/>
    </row>
    <row r="59" spans="1:15" x14ac:dyDescent="0.2">
      <c r="A59" s="19"/>
      <c r="B59" s="20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43"/>
    </row>
    <row r="60" spans="1:15" x14ac:dyDescent="0.2">
      <c r="A60" s="19"/>
      <c r="B60" s="20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43"/>
    </row>
    <row r="61" spans="1:15" x14ac:dyDescent="0.2">
      <c r="A61" s="19"/>
      <c r="B61" s="20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43"/>
    </row>
    <row r="62" spans="1:15" x14ac:dyDescent="0.2">
      <c r="A62" s="19"/>
      <c r="B62" s="20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43"/>
    </row>
    <row r="63" spans="1:15" x14ac:dyDescent="0.2">
      <c r="A63" s="19">
        <v>138570</v>
      </c>
      <c r="B63" s="20" t="s">
        <v>42</v>
      </c>
      <c r="C63" s="17"/>
      <c r="D63" s="17">
        <v>1643.83</v>
      </c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43">
        <f t="shared" ref="O63:O68" si="2">SUM(C63:N63)</f>
        <v>1643.83</v>
      </c>
    </row>
    <row r="64" spans="1:15" x14ac:dyDescent="0.2">
      <c r="A64" s="19">
        <v>138710</v>
      </c>
      <c r="B64" s="20" t="s">
        <v>43</v>
      </c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43">
        <f t="shared" si="2"/>
        <v>0</v>
      </c>
    </row>
    <row r="65" spans="1:15" x14ac:dyDescent="0.2">
      <c r="A65" s="19">
        <v>138720</v>
      </c>
      <c r="B65" s="20" t="s">
        <v>44</v>
      </c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43">
        <f t="shared" si="2"/>
        <v>0</v>
      </c>
    </row>
    <row r="66" spans="1:15" x14ac:dyDescent="0.2">
      <c r="A66" s="19">
        <v>138910</v>
      </c>
      <c r="B66" s="20" t="s">
        <v>45</v>
      </c>
      <c r="C66" s="17"/>
      <c r="D66" s="17">
        <v>1604.32</v>
      </c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43">
        <f t="shared" si="2"/>
        <v>1604.32</v>
      </c>
    </row>
    <row r="67" spans="1:15" x14ac:dyDescent="0.2">
      <c r="A67" s="19">
        <v>139010</v>
      </c>
      <c r="B67" s="20" t="s">
        <v>46</v>
      </c>
      <c r="C67" s="17"/>
      <c r="D67" s="17">
        <v>39.51</v>
      </c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43">
        <f t="shared" si="2"/>
        <v>39.51</v>
      </c>
    </row>
    <row r="68" spans="1:15" x14ac:dyDescent="0.2">
      <c r="A68" s="19">
        <v>139410</v>
      </c>
      <c r="B68" s="20" t="s">
        <v>47</v>
      </c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43">
        <f t="shared" si="2"/>
        <v>0</v>
      </c>
    </row>
    <row r="69" spans="1:15" x14ac:dyDescent="0.2">
      <c r="A69" s="19"/>
      <c r="B69" s="20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43"/>
    </row>
    <row r="70" spans="1:15" x14ac:dyDescent="0.2">
      <c r="A70" s="19"/>
      <c r="B70" s="20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43"/>
    </row>
    <row r="71" spans="1:15" x14ac:dyDescent="0.2">
      <c r="A71" s="19">
        <v>139500</v>
      </c>
      <c r="B71" s="20" t="s">
        <v>725</v>
      </c>
      <c r="C71" s="17"/>
      <c r="D71" s="17">
        <v>1643.83</v>
      </c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43">
        <f>SUM(C71:N71)</f>
        <v>1643.83</v>
      </c>
    </row>
    <row r="72" spans="1:15" x14ac:dyDescent="0.2">
      <c r="A72" s="19">
        <v>139510</v>
      </c>
      <c r="B72" s="20" t="s">
        <v>709</v>
      </c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43">
        <f>SUM(C72:N72)</f>
        <v>0</v>
      </c>
    </row>
    <row r="73" spans="1:15" x14ac:dyDescent="0.2">
      <c r="A73" s="19">
        <v>139520</v>
      </c>
      <c r="B73" s="20" t="s">
        <v>710</v>
      </c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43">
        <f>SUM(C73:N73)</f>
        <v>0</v>
      </c>
    </row>
    <row r="74" spans="1:15" x14ac:dyDescent="0.2">
      <c r="A74" s="19">
        <v>139530</v>
      </c>
      <c r="B74" s="20" t="s">
        <v>689</v>
      </c>
      <c r="C74" s="28"/>
      <c r="D74" s="17">
        <v>1604.32</v>
      </c>
      <c r="E74" s="28"/>
      <c r="F74" s="28"/>
      <c r="G74" s="28"/>
      <c r="H74" s="28"/>
      <c r="I74" s="28"/>
      <c r="J74" s="17"/>
      <c r="K74" s="17"/>
      <c r="L74" s="17"/>
      <c r="M74" s="17"/>
      <c r="N74" s="17"/>
      <c r="O74" s="29">
        <f>SUM(C74:N74)</f>
        <v>1604.32</v>
      </c>
    </row>
    <row r="75" spans="1:15" x14ac:dyDescent="0.2">
      <c r="A75" s="19">
        <v>139550</v>
      </c>
      <c r="B75" s="20" t="s">
        <v>696</v>
      </c>
      <c r="C75" s="28"/>
      <c r="D75" s="17">
        <v>39.51</v>
      </c>
      <c r="E75" s="28"/>
      <c r="F75" s="28"/>
      <c r="G75" s="28"/>
      <c r="H75" s="28"/>
      <c r="I75" s="28"/>
      <c r="J75" s="17"/>
      <c r="K75" s="17"/>
      <c r="L75" s="17"/>
      <c r="M75" s="17"/>
      <c r="N75" s="17"/>
      <c r="O75" s="29">
        <f>SUM(C75:N75)</f>
        <v>39.51</v>
      </c>
    </row>
    <row r="76" spans="1:15" x14ac:dyDescent="0.2">
      <c r="A76" s="19"/>
      <c r="B76" s="27"/>
      <c r="C76" s="28"/>
      <c r="D76" s="28"/>
      <c r="E76" s="28"/>
      <c r="F76" s="28"/>
      <c r="G76" s="28"/>
      <c r="H76" s="28"/>
      <c r="I76" s="28"/>
      <c r="J76" s="28"/>
      <c r="K76" s="27"/>
      <c r="L76" s="27"/>
      <c r="M76" s="27"/>
      <c r="N76" s="27"/>
      <c r="O76" s="29"/>
    </row>
    <row r="77" spans="1:15" x14ac:dyDescent="0.2">
      <c r="A77" s="19"/>
      <c r="B77" s="27"/>
      <c r="C77" s="28"/>
      <c r="D77" s="28"/>
      <c r="E77" s="28"/>
      <c r="F77" s="28"/>
      <c r="G77" s="28"/>
      <c r="H77" s="28"/>
      <c r="I77" s="28"/>
      <c r="J77" s="28"/>
      <c r="K77" s="27"/>
      <c r="L77" s="27"/>
      <c r="M77" s="27"/>
      <c r="N77" s="27"/>
      <c r="O77" s="29"/>
    </row>
    <row r="78" spans="1:15" x14ac:dyDescent="0.2">
      <c r="A78" s="19">
        <v>145000</v>
      </c>
      <c r="B78" s="27" t="s">
        <v>52</v>
      </c>
      <c r="C78" s="28"/>
      <c r="D78" s="28"/>
      <c r="E78" s="28"/>
      <c r="F78" s="28"/>
      <c r="G78" s="28"/>
      <c r="H78" s="28"/>
      <c r="I78" s="28"/>
      <c r="J78" s="28"/>
      <c r="K78" s="17"/>
      <c r="L78" s="17"/>
      <c r="M78" s="17"/>
      <c r="N78" s="17"/>
      <c r="O78" s="29">
        <f>SUM(C78:N78)</f>
        <v>0</v>
      </c>
    </row>
    <row r="79" spans="1:15" x14ac:dyDescent="0.2">
      <c r="A79" s="19">
        <v>145100</v>
      </c>
      <c r="B79" s="27" t="s">
        <v>53</v>
      </c>
      <c r="C79" s="28"/>
      <c r="D79" s="28"/>
      <c r="E79" s="28"/>
      <c r="F79" s="28"/>
      <c r="G79" s="28"/>
      <c r="H79" s="28"/>
      <c r="I79" s="28"/>
      <c r="J79" s="17"/>
      <c r="K79" s="17"/>
      <c r="L79" s="17"/>
      <c r="M79" s="17"/>
      <c r="N79" s="17"/>
      <c r="O79" s="29">
        <f t="shared" ref="O79:O88" si="3">SUM(C79:N79)</f>
        <v>0</v>
      </c>
    </row>
    <row r="80" spans="1:15" x14ac:dyDescent="0.2">
      <c r="A80" s="19">
        <v>145210</v>
      </c>
      <c r="B80" s="27" t="s">
        <v>54</v>
      </c>
      <c r="C80" s="28"/>
      <c r="D80" s="28"/>
      <c r="E80" s="28"/>
      <c r="F80" s="28"/>
      <c r="G80" s="28"/>
      <c r="H80" s="28"/>
      <c r="I80" s="28"/>
      <c r="J80" s="17"/>
      <c r="K80" s="17"/>
      <c r="L80" s="17"/>
      <c r="M80" s="17"/>
      <c r="N80" s="17"/>
      <c r="O80" s="29">
        <f t="shared" si="3"/>
        <v>0</v>
      </c>
    </row>
    <row r="81" spans="1:15" x14ac:dyDescent="0.2">
      <c r="A81" s="19">
        <v>145310</v>
      </c>
      <c r="B81" s="27" t="s">
        <v>55</v>
      </c>
      <c r="C81" s="28"/>
      <c r="D81" s="28"/>
      <c r="E81" s="28"/>
      <c r="F81" s="28"/>
      <c r="G81" s="28"/>
      <c r="H81" s="28"/>
      <c r="I81" s="28"/>
      <c r="J81" s="17"/>
      <c r="K81" s="17"/>
      <c r="L81" s="17"/>
      <c r="M81" s="17"/>
      <c r="N81" s="17"/>
      <c r="O81" s="29">
        <f t="shared" si="3"/>
        <v>0</v>
      </c>
    </row>
    <row r="82" spans="1:15" x14ac:dyDescent="0.2">
      <c r="A82" s="19"/>
      <c r="B82" s="27"/>
      <c r="C82" s="28"/>
      <c r="D82" s="28"/>
      <c r="E82" s="28"/>
      <c r="F82" s="28"/>
      <c r="G82" s="28"/>
      <c r="H82" s="28"/>
      <c r="I82" s="28"/>
      <c r="J82" s="28"/>
      <c r="K82" s="27"/>
      <c r="L82" s="27"/>
      <c r="M82" s="27"/>
      <c r="N82" s="27"/>
      <c r="O82" s="29"/>
    </row>
    <row r="83" spans="1:15" x14ac:dyDescent="0.2">
      <c r="A83" s="19">
        <v>146300</v>
      </c>
      <c r="B83" s="20" t="s">
        <v>727</v>
      </c>
      <c r="C83" s="28"/>
      <c r="D83" s="28"/>
      <c r="E83" s="28"/>
      <c r="F83" s="28"/>
      <c r="G83" s="28"/>
      <c r="H83" s="28"/>
      <c r="I83" s="28"/>
      <c r="J83" s="28"/>
      <c r="K83" s="17"/>
      <c r="L83" s="17"/>
      <c r="M83" s="17"/>
      <c r="N83" s="17"/>
      <c r="O83" s="29">
        <f t="shared" si="3"/>
        <v>0</v>
      </c>
    </row>
    <row r="84" spans="1:15" x14ac:dyDescent="0.2">
      <c r="A84" s="19">
        <v>146310</v>
      </c>
      <c r="B84" s="20" t="s">
        <v>711</v>
      </c>
      <c r="C84" s="28"/>
      <c r="D84" s="28"/>
      <c r="E84" s="28"/>
      <c r="F84" s="28"/>
      <c r="G84" s="28"/>
      <c r="H84" s="28"/>
      <c r="I84" s="28"/>
      <c r="J84" s="17"/>
      <c r="K84" s="17"/>
      <c r="L84" s="17"/>
      <c r="M84" s="17"/>
      <c r="N84" s="17"/>
      <c r="O84" s="29">
        <f t="shared" si="3"/>
        <v>0</v>
      </c>
    </row>
    <row r="85" spans="1:15" x14ac:dyDescent="0.2">
      <c r="A85" s="19">
        <v>146315</v>
      </c>
      <c r="B85" s="20" t="s">
        <v>712</v>
      </c>
      <c r="C85" s="28"/>
      <c r="D85" s="28"/>
      <c r="E85" s="28"/>
      <c r="F85" s="28"/>
      <c r="G85" s="28"/>
      <c r="H85" s="28"/>
      <c r="I85" s="28"/>
      <c r="J85" s="17"/>
      <c r="K85" s="17"/>
      <c r="L85" s="17"/>
      <c r="M85" s="17"/>
      <c r="N85" s="17"/>
      <c r="O85" s="29">
        <f t="shared" si="3"/>
        <v>0</v>
      </c>
    </row>
    <row r="86" spans="1:15" x14ac:dyDescent="0.2">
      <c r="A86" s="19"/>
      <c r="B86" s="27"/>
      <c r="C86" s="28"/>
      <c r="D86" s="28"/>
      <c r="E86" s="28"/>
      <c r="F86" s="28"/>
      <c r="G86" s="28"/>
      <c r="H86" s="28"/>
      <c r="I86" s="28"/>
      <c r="J86" s="28"/>
      <c r="K86" s="27"/>
      <c r="L86" s="27"/>
      <c r="M86" s="27"/>
      <c r="N86" s="27"/>
      <c r="O86" s="29"/>
    </row>
    <row r="87" spans="1:15" x14ac:dyDescent="0.2">
      <c r="A87" s="19">
        <v>147000</v>
      </c>
      <c r="B87" s="27" t="s">
        <v>58</v>
      </c>
      <c r="C87" s="28"/>
      <c r="D87" s="28"/>
      <c r="E87" s="28"/>
      <c r="F87" s="28"/>
      <c r="G87" s="28"/>
      <c r="H87" s="28"/>
      <c r="I87" s="28"/>
      <c r="J87" s="17"/>
      <c r="K87" s="17"/>
      <c r="L87" s="17"/>
      <c r="M87" s="17"/>
      <c r="N87" s="17"/>
      <c r="O87" s="29">
        <f t="shared" si="3"/>
        <v>0</v>
      </c>
    </row>
    <row r="88" spans="1:15" x14ac:dyDescent="0.2">
      <c r="A88" s="19">
        <v>147020</v>
      </c>
      <c r="B88" s="27" t="s">
        <v>54</v>
      </c>
      <c r="C88" s="28"/>
      <c r="D88" s="28"/>
      <c r="E88" s="28"/>
      <c r="F88" s="28"/>
      <c r="G88" s="28"/>
      <c r="H88" s="28"/>
      <c r="I88" s="28"/>
      <c r="J88" s="17"/>
      <c r="K88" s="17"/>
      <c r="L88" s="17"/>
      <c r="M88" s="17"/>
      <c r="N88" s="17"/>
      <c r="O88" s="29">
        <f t="shared" si="3"/>
        <v>0</v>
      </c>
    </row>
    <row r="89" spans="1:15" ht="13.5" thickBot="1" x14ac:dyDescent="0.25">
      <c r="A89" s="30"/>
      <c r="B89" s="31"/>
      <c r="C89" s="32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3"/>
    </row>
    <row r="90" spans="1:15" ht="13.5" thickTop="1" x14ac:dyDescent="0.2"/>
  </sheetData>
  <autoFilter ref="A4:O89" xr:uid="{807FE102-5655-48BE-91D0-E8C4933CFD5F}"/>
  <phoneticPr fontId="9" type="noConversion"/>
  <pageMargins left="0.78740157480314965" right="0.78740157480314965" top="0.98425196850393704" bottom="0.98425196850393704" header="0.51181102362204722" footer="0.51181102362204722"/>
  <pageSetup paperSize="9" scale="65" orientation="landscape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2:O69"/>
  <sheetViews>
    <sheetView showGridLines="0" zoomScale="80" zoomScaleNormal="80" workbookViewId="0">
      <pane ySplit="4" topLeftCell="A5" activePane="bottomLeft" state="frozen"/>
      <selection activeCell="G23" sqref="G23"/>
      <selection pane="bottomLeft" activeCell="D74" sqref="D74"/>
    </sheetView>
  </sheetViews>
  <sheetFormatPr defaultColWidth="12.5703125" defaultRowHeight="12.75" x14ac:dyDescent="0.2"/>
  <cols>
    <col min="1" max="1" width="11.42578125" customWidth="1"/>
    <col min="2" max="2" width="57" bestFit="1" customWidth="1"/>
    <col min="3" max="3" width="11.7109375" style="1" bestFit="1" customWidth="1"/>
    <col min="4" max="4" width="15.140625" customWidth="1"/>
    <col min="5" max="5" width="12.7109375" bestFit="1" customWidth="1"/>
    <col min="6" max="6" width="12.140625" bestFit="1" customWidth="1"/>
    <col min="7" max="7" width="12.42578125" bestFit="1" customWidth="1"/>
    <col min="8" max="8" width="12.7109375" bestFit="1" customWidth="1"/>
    <col min="9" max="9" width="12" bestFit="1" customWidth="1"/>
    <col min="10" max="10" width="12.42578125" bestFit="1" customWidth="1"/>
    <col min="11" max="12" width="12.140625" bestFit="1" customWidth="1"/>
    <col min="13" max="13" width="12.42578125" bestFit="1" customWidth="1"/>
    <col min="14" max="14" width="13.5703125" bestFit="1" customWidth="1"/>
    <col min="15" max="15" width="15.7109375" customWidth="1"/>
    <col min="257" max="257" width="11.42578125" customWidth="1"/>
    <col min="258" max="258" width="57" bestFit="1" customWidth="1"/>
    <col min="259" max="259" width="11.7109375" bestFit="1" customWidth="1"/>
    <col min="260" max="260" width="11.85546875" bestFit="1" customWidth="1"/>
    <col min="261" max="261" width="12.7109375" bestFit="1" customWidth="1"/>
    <col min="262" max="262" width="12.140625" bestFit="1" customWidth="1"/>
    <col min="263" max="263" width="12.42578125" bestFit="1" customWidth="1"/>
    <col min="264" max="264" width="12.7109375" bestFit="1" customWidth="1"/>
    <col min="265" max="265" width="11.28515625" bestFit="1" customWidth="1"/>
    <col min="266" max="266" width="12.42578125" bestFit="1" customWidth="1"/>
    <col min="267" max="268" width="12.140625" bestFit="1" customWidth="1"/>
    <col min="269" max="270" width="12.42578125" bestFit="1" customWidth="1"/>
    <col min="271" max="271" width="13.5703125" bestFit="1" customWidth="1"/>
    <col min="513" max="513" width="11.42578125" customWidth="1"/>
    <col min="514" max="514" width="57" bestFit="1" customWidth="1"/>
    <col min="515" max="515" width="11.7109375" bestFit="1" customWidth="1"/>
    <col min="516" max="516" width="11.85546875" bestFit="1" customWidth="1"/>
    <col min="517" max="517" width="12.7109375" bestFit="1" customWidth="1"/>
    <col min="518" max="518" width="12.140625" bestFit="1" customWidth="1"/>
    <col min="519" max="519" width="12.42578125" bestFit="1" customWidth="1"/>
    <col min="520" max="520" width="12.7109375" bestFit="1" customWidth="1"/>
    <col min="521" max="521" width="11.28515625" bestFit="1" customWidth="1"/>
    <col min="522" max="522" width="12.42578125" bestFit="1" customWidth="1"/>
    <col min="523" max="524" width="12.140625" bestFit="1" customWidth="1"/>
    <col min="525" max="526" width="12.42578125" bestFit="1" customWidth="1"/>
    <col min="527" max="527" width="13.5703125" bestFit="1" customWidth="1"/>
    <col min="769" max="769" width="11.42578125" customWidth="1"/>
    <col min="770" max="770" width="57" bestFit="1" customWidth="1"/>
    <col min="771" max="771" width="11.7109375" bestFit="1" customWidth="1"/>
    <col min="772" max="772" width="11.85546875" bestFit="1" customWidth="1"/>
    <col min="773" max="773" width="12.7109375" bestFit="1" customWidth="1"/>
    <col min="774" max="774" width="12.140625" bestFit="1" customWidth="1"/>
    <col min="775" max="775" width="12.42578125" bestFit="1" customWidth="1"/>
    <col min="776" max="776" width="12.7109375" bestFit="1" customWidth="1"/>
    <col min="777" max="777" width="11.28515625" bestFit="1" customWidth="1"/>
    <col min="778" max="778" width="12.42578125" bestFit="1" customWidth="1"/>
    <col min="779" max="780" width="12.140625" bestFit="1" customWidth="1"/>
    <col min="781" max="782" width="12.42578125" bestFit="1" customWidth="1"/>
    <col min="783" max="783" width="13.5703125" bestFit="1" customWidth="1"/>
    <col min="1025" max="1025" width="11.42578125" customWidth="1"/>
    <col min="1026" max="1026" width="57" bestFit="1" customWidth="1"/>
    <col min="1027" max="1027" width="11.7109375" bestFit="1" customWidth="1"/>
    <col min="1028" max="1028" width="11.85546875" bestFit="1" customWidth="1"/>
    <col min="1029" max="1029" width="12.7109375" bestFit="1" customWidth="1"/>
    <col min="1030" max="1030" width="12.140625" bestFit="1" customWidth="1"/>
    <col min="1031" max="1031" width="12.42578125" bestFit="1" customWidth="1"/>
    <col min="1032" max="1032" width="12.7109375" bestFit="1" customWidth="1"/>
    <col min="1033" max="1033" width="11.28515625" bestFit="1" customWidth="1"/>
    <col min="1034" max="1034" width="12.42578125" bestFit="1" customWidth="1"/>
    <col min="1035" max="1036" width="12.140625" bestFit="1" customWidth="1"/>
    <col min="1037" max="1038" width="12.42578125" bestFit="1" customWidth="1"/>
    <col min="1039" max="1039" width="13.5703125" bestFit="1" customWidth="1"/>
    <col min="1281" max="1281" width="11.42578125" customWidth="1"/>
    <col min="1282" max="1282" width="57" bestFit="1" customWidth="1"/>
    <col min="1283" max="1283" width="11.7109375" bestFit="1" customWidth="1"/>
    <col min="1284" max="1284" width="11.85546875" bestFit="1" customWidth="1"/>
    <col min="1285" max="1285" width="12.7109375" bestFit="1" customWidth="1"/>
    <col min="1286" max="1286" width="12.140625" bestFit="1" customWidth="1"/>
    <col min="1287" max="1287" width="12.42578125" bestFit="1" customWidth="1"/>
    <col min="1288" max="1288" width="12.7109375" bestFit="1" customWidth="1"/>
    <col min="1289" max="1289" width="11.28515625" bestFit="1" customWidth="1"/>
    <col min="1290" max="1290" width="12.42578125" bestFit="1" customWidth="1"/>
    <col min="1291" max="1292" width="12.140625" bestFit="1" customWidth="1"/>
    <col min="1293" max="1294" width="12.42578125" bestFit="1" customWidth="1"/>
    <col min="1295" max="1295" width="13.5703125" bestFit="1" customWidth="1"/>
    <col min="1537" max="1537" width="11.42578125" customWidth="1"/>
    <col min="1538" max="1538" width="57" bestFit="1" customWidth="1"/>
    <col min="1539" max="1539" width="11.7109375" bestFit="1" customWidth="1"/>
    <col min="1540" max="1540" width="11.85546875" bestFit="1" customWidth="1"/>
    <col min="1541" max="1541" width="12.7109375" bestFit="1" customWidth="1"/>
    <col min="1542" max="1542" width="12.140625" bestFit="1" customWidth="1"/>
    <col min="1543" max="1543" width="12.42578125" bestFit="1" customWidth="1"/>
    <col min="1544" max="1544" width="12.7109375" bestFit="1" customWidth="1"/>
    <col min="1545" max="1545" width="11.28515625" bestFit="1" customWidth="1"/>
    <col min="1546" max="1546" width="12.42578125" bestFit="1" customWidth="1"/>
    <col min="1547" max="1548" width="12.140625" bestFit="1" customWidth="1"/>
    <col min="1549" max="1550" width="12.42578125" bestFit="1" customWidth="1"/>
    <col min="1551" max="1551" width="13.5703125" bestFit="1" customWidth="1"/>
    <col min="1793" max="1793" width="11.42578125" customWidth="1"/>
    <col min="1794" max="1794" width="57" bestFit="1" customWidth="1"/>
    <col min="1795" max="1795" width="11.7109375" bestFit="1" customWidth="1"/>
    <col min="1796" max="1796" width="11.85546875" bestFit="1" customWidth="1"/>
    <col min="1797" max="1797" width="12.7109375" bestFit="1" customWidth="1"/>
    <col min="1798" max="1798" width="12.140625" bestFit="1" customWidth="1"/>
    <col min="1799" max="1799" width="12.42578125" bestFit="1" customWidth="1"/>
    <col min="1800" max="1800" width="12.7109375" bestFit="1" customWidth="1"/>
    <col min="1801" max="1801" width="11.28515625" bestFit="1" customWidth="1"/>
    <col min="1802" max="1802" width="12.42578125" bestFit="1" customWidth="1"/>
    <col min="1803" max="1804" width="12.140625" bestFit="1" customWidth="1"/>
    <col min="1805" max="1806" width="12.42578125" bestFit="1" customWidth="1"/>
    <col min="1807" max="1807" width="13.5703125" bestFit="1" customWidth="1"/>
    <col min="2049" max="2049" width="11.42578125" customWidth="1"/>
    <col min="2050" max="2050" width="57" bestFit="1" customWidth="1"/>
    <col min="2051" max="2051" width="11.7109375" bestFit="1" customWidth="1"/>
    <col min="2052" max="2052" width="11.85546875" bestFit="1" customWidth="1"/>
    <col min="2053" max="2053" width="12.7109375" bestFit="1" customWidth="1"/>
    <col min="2054" max="2054" width="12.140625" bestFit="1" customWidth="1"/>
    <col min="2055" max="2055" width="12.42578125" bestFit="1" customWidth="1"/>
    <col min="2056" max="2056" width="12.7109375" bestFit="1" customWidth="1"/>
    <col min="2057" max="2057" width="11.28515625" bestFit="1" customWidth="1"/>
    <col min="2058" max="2058" width="12.42578125" bestFit="1" customWidth="1"/>
    <col min="2059" max="2060" width="12.140625" bestFit="1" customWidth="1"/>
    <col min="2061" max="2062" width="12.42578125" bestFit="1" customWidth="1"/>
    <col min="2063" max="2063" width="13.5703125" bestFit="1" customWidth="1"/>
    <col min="2305" max="2305" width="11.42578125" customWidth="1"/>
    <col min="2306" max="2306" width="57" bestFit="1" customWidth="1"/>
    <col min="2307" max="2307" width="11.7109375" bestFit="1" customWidth="1"/>
    <col min="2308" max="2308" width="11.85546875" bestFit="1" customWidth="1"/>
    <col min="2309" max="2309" width="12.7109375" bestFit="1" customWidth="1"/>
    <col min="2310" max="2310" width="12.140625" bestFit="1" customWidth="1"/>
    <col min="2311" max="2311" width="12.42578125" bestFit="1" customWidth="1"/>
    <col min="2312" max="2312" width="12.7109375" bestFit="1" customWidth="1"/>
    <col min="2313" max="2313" width="11.28515625" bestFit="1" customWidth="1"/>
    <col min="2314" max="2314" width="12.42578125" bestFit="1" customWidth="1"/>
    <col min="2315" max="2316" width="12.140625" bestFit="1" customWidth="1"/>
    <col min="2317" max="2318" width="12.42578125" bestFit="1" customWidth="1"/>
    <col min="2319" max="2319" width="13.5703125" bestFit="1" customWidth="1"/>
    <col min="2561" max="2561" width="11.42578125" customWidth="1"/>
    <col min="2562" max="2562" width="57" bestFit="1" customWidth="1"/>
    <col min="2563" max="2563" width="11.7109375" bestFit="1" customWidth="1"/>
    <col min="2564" max="2564" width="11.85546875" bestFit="1" customWidth="1"/>
    <col min="2565" max="2565" width="12.7109375" bestFit="1" customWidth="1"/>
    <col min="2566" max="2566" width="12.140625" bestFit="1" customWidth="1"/>
    <col min="2567" max="2567" width="12.42578125" bestFit="1" customWidth="1"/>
    <col min="2568" max="2568" width="12.7109375" bestFit="1" customWidth="1"/>
    <col min="2569" max="2569" width="11.28515625" bestFit="1" customWidth="1"/>
    <col min="2570" max="2570" width="12.42578125" bestFit="1" customWidth="1"/>
    <col min="2571" max="2572" width="12.140625" bestFit="1" customWidth="1"/>
    <col min="2573" max="2574" width="12.42578125" bestFit="1" customWidth="1"/>
    <col min="2575" max="2575" width="13.5703125" bestFit="1" customWidth="1"/>
    <col min="2817" max="2817" width="11.42578125" customWidth="1"/>
    <col min="2818" max="2818" width="57" bestFit="1" customWidth="1"/>
    <col min="2819" max="2819" width="11.7109375" bestFit="1" customWidth="1"/>
    <col min="2820" max="2820" width="11.85546875" bestFit="1" customWidth="1"/>
    <col min="2821" max="2821" width="12.7109375" bestFit="1" customWidth="1"/>
    <col min="2822" max="2822" width="12.140625" bestFit="1" customWidth="1"/>
    <col min="2823" max="2823" width="12.42578125" bestFit="1" customWidth="1"/>
    <col min="2824" max="2824" width="12.7109375" bestFit="1" customWidth="1"/>
    <col min="2825" max="2825" width="11.28515625" bestFit="1" customWidth="1"/>
    <col min="2826" max="2826" width="12.42578125" bestFit="1" customWidth="1"/>
    <col min="2827" max="2828" width="12.140625" bestFit="1" customWidth="1"/>
    <col min="2829" max="2830" width="12.42578125" bestFit="1" customWidth="1"/>
    <col min="2831" max="2831" width="13.5703125" bestFit="1" customWidth="1"/>
    <col min="3073" max="3073" width="11.42578125" customWidth="1"/>
    <col min="3074" max="3074" width="57" bestFit="1" customWidth="1"/>
    <col min="3075" max="3075" width="11.7109375" bestFit="1" customWidth="1"/>
    <col min="3076" max="3076" width="11.85546875" bestFit="1" customWidth="1"/>
    <col min="3077" max="3077" width="12.7109375" bestFit="1" customWidth="1"/>
    <col min="3078" max="3078" width="12.140625" bestFit="1" customWidth="1"/>
    <col min="3079" max="3079" width="12.42578125" bestFit="1" customWidth="1"/>
    <col min="3080" max="3080" width="12.7109375" bestFit="1" customWidth="1"/>
    <col min="3081" max="3081" width="11.28515625" bestFit="1" customWidth="1"/>
    <col min="3082" max="3082" width="12.42578125" bestFit="1" customWidth="1"/>
    <col min="3083" max="3084" width="12.140625" bestFit="1" customWidth="1"/>
    <col min="3085" max="3086" width="12.42578125" bestFit="1" customWidth="1"/>
    <col min="3087" max="3087" width="13.5703125" bestFit="1" customWidth="1"/>
    <col min="3329" max="3329" width="11.42578125" customWidth="1"/>
    <col min="3330" max="3330" width="57" bestFit="1" customWidth="1"/>
    <col min="3331" max="3331" width="11.7109375" bestFit="1" customWidth="1"/>
    <col min="3332" max="3332" width="11.85546875" bestFit="1" customWidth="1"/>
    <col min="3333" max="3333" width="12.7109375" bestFit="1" customWidth="1"/>
    <col min="3334" max="3334" width="12.140625" bestFit="1" customWidth="1"/>
    <col min="3335" max="3335" width="12.42578125" bestFit="1" customWidth="1"/>
    <col min="3336" max="3336" width="12.7109375" bestFit="1" customWidth="1"/>
    <col min="3337" max="3337" width="11.28515625" bestFit="1" customWidth="1"/>
    <col min="3338" max="3338" width="12.42578125" bestFit="1" customWidth="1"/>
    <col min="3339" max="3340" width="12.140625" bestFit="1" customWidth="1"/>
    <col min="3341" max="3342" width="12.42578125" bestFit="1" customWidth="1"/>
    <col min="3343" max="3343" width="13.5703125" bestFit="1" customWidth="1"/>
    <col min="3585" max="3585" width="11.42578125" customWidth="1"/>
    <col min="3586" max="3586" width="57" bestFit="1" customWidth="1"/>
    <col min="3587" max="3587" width="11.7109375" bestFit="1" customWidth="1"/>
    <col min="3588" max="3588" width="11.85546875" bestFit="1" customWidth="1"/>
    <col min="3589" max="3589" width="12.7109375" bestFit="1" customWidth="1"/>
    <col min="3590" max="3590" width="12.140625" bestFit="1" customWidth="1"/>
    <col min="3591" max="3591" width="12.42578125" bestFit="1" customWidth="1"/>
    <col min="3592" max="3592" width="12.7109375" bestFit="1" customWidth="1"/>
    <col min="3593" max="3593" width="11.28515625" bestFit="1" customWidth="1"/>
    <col min="3594" max="3594" width="12.42578125" bestFit="1" customWidth="1"/>
    <col min="3595" max="3596" width="12.140625" bestFit="1" customWidth="1"/>
    <col min="3597" max="3598" width="12.42578125" bestFit="1" customWidth="1"/>
    <col min="3599" max="3599" width="13.5703125" bestFit="1" customWidth="1"/>
    <col min="3841" max="3841" width="11.42578125" customWidth="1"/>
    <col min="3842" max="3842" width="57" bestFit="1" customWidth="1"/>
    <col min="3843" max="3843" width="11.7109375" bestFit="1" customWidth="1"/>
    <col min="3844" max="3844" width="11.85546875" bestFit="1" customWidth="1"/>
    <col min="3845" max="3845" width="12.7109375" bestFit="1" customWidth="1"/>
    <col min="3846" max="3846" width="12.140625" bestFit="1" customWidth="1"/>
    <col min="3847" max="3847" width="12.42578125" bestFit="1" customWidth="1"/>
    <col min="3848" max="3848" width="12.7109375" bestFit="1" customWidth="1"/>
    <col min="3849" max="3849" width="11.28515625" bestFit="1" customWidth="1"/>
    <col min="3850" max="3850" width="12.42578125" bestFit="1" customWidth="1"/>
    <col min="3851" max="3852" width="12.140625" bestFit="1" customWidth="1"/>
    <col min="3853" max="3854" width="12.42578125" bestFit="1" customWidth="1"/>
    <col min="3855" max="3855" width="13.5703125" bestFit="1" customWidth="1"/>
    <col min="4097" max="4097" width="11.42578125" customWidth="1"/>
    <col min="4098" max="4098" width="57" bestFit="1" customWidth="1"/>
    <col min="4099" max="4099" width="11.7109375" bestFit="1" customWidth="1"/>
    <col min="4100" max="4100" width="11.85546875" bestFit="1" customWidth="1"/>
    <col min="4101" max="4101" width="12.7109375" bestFit="1" customWidth="1"/>
    <col min="4102" max="4102" width="12.140625" bestFit="1" customWidth="1"/>
    <col min="4103" max="4103" width="12.42578125" bestFit="1" customWidth="1"/>
    <col min="4104" max="4104" width="12.7109375" bestFit="1" customWidth="1"/>
    <col min="4105" max="4105" width="11.28515625" bestFit="1" customWidth="1"/>
    <col min="4106" max="4106" width="12.42578125" bestFit="1" customWidth="1"/>
    <col min="4107" max="4108" width="12.140625" bestFit="1" customWidth="1"/>
    <col min="4109" max="4110" width="12.42578125" bestFit="1" customWidth="1"/>
    <col min="4111" max="4111" width="13.5703125" bestFit="1" customWidth="1"/>
    <col min="4353" max="4353" width="11.42578125" customWidth="1"/>
    <col min="4354" max="4354" width="57" bestFit="1" customWidth="1"/>
    <col min="4355" max="4355" width="11.7109375" bestFit="1" customWidth="1"/>
    <col min="4356" max="4356" width="11.85546875" bestFit="1" customWidth="1"/>
    <col min="4357" max="4357" width="12.7109375" bestFit="1" customWidth="1"/>
    <col min="4358" max="4358" width="12.140625" bestFit="1" customWidth="1"/>
    <col min="4359" max="4359" width="12.42578125" bestFit="1" customWidth="1"/>
    <col min="4360" max="4360" width="12.7109375" bestFit="1" customWidth="1"/>
    <col min="4361" max="4361" width="11.28515625" bestFit="1" customWidth="1"/>
    <col min="4362" max="4362" width="12.42578125" bestFit="1" customWidth="1"/>
    <col min="4363" max="4364" width="12.140625" bestFit="1" customWidth="1"/>
    <col min="4365" max="4366" width="12.42578125" bestFit="1" customWidth="1"/>
    <col min="4367" max="4367" width="13.5703125" bestFit="1" customWidth="1"/>
    <col min="4609" max="4609" width="11.42578125" customWidth="1"/>
    <col min="4610" max="4610" width="57" bestFit="1" customWidth="1"/>
    <col min="4611" max="4611" width="11.7109375" bestFit="1" customWidth="1"/>
    <col min="4612" max="4612" width="11.85546875" bestFit="1" customWidth="1"/>
    <col min="4613" max="4613" width="12.7109375" bestFit="1" customWidth="1"/>
    <col min="4614" max="4614" width="12.140625" bestFit="1" customWidth="1"/>
    <col min="4615" max="4615" width="12.42578125" bestFit="1" customWidth="1"/>
    <col min="4616" max="4616" width="12.7109375" bestFit="1" customWidth="1"/>
    <col min="4617" max="4617" width="11.28515625" bestFit="1" customWidth="1"/>
    <col min="4618" max="4618" width="12.42578125" bestFit="1" customWidth="1"/>
    <col min="4619" max="4620" width="12.140625" bestFit="1" customWidth="1"/>
    <col min="4621" max="4622" width="12.42578125" bestFit="1" customWidth="1"/>
    <col min="4623" max="4623" width="13.5703125" bestFit="1" customWidth="1"/>
    <col min="4865" max="4865" width="11.42578125" customWidth="1"/>
    <col min="4866" max="4866" width="57" bestFit="1" customWidth="1"/>
    <col min="4867" max="4867" width="11.7109375" bestFit="1" customWidth="1"/>
    <col min="4868" max="4868" width="11.85546875" bestFit="1" customWidth="1"/>
    <col min="4869" max="4869" width="12.7109375" bestFit="1" customWidth="1"/>
    <col min="4870" max="4870" width="12.140625" bestFit="1" customWidth="1"/>
    <col min="4871" max="4871" width="12.42578125" bestFit="1" customWidth="1"/>
    <col min="4872" max="4872" width="12.7109375" bestFit="1" customWidth="1"/>
    <col min="4873" max="4873" width="11.28515625" bestFit="1" customWidth="1"/>
    <col min="4874" max="4874" width="12.42578125" bestFit="1" customWidth="1"/>
    <col min="4875" max="4876" width="12.140625" bestFit="1" customWidth="1"/>
    <col min="4877" max="4878" width="12.42578125" bestFit="1" customWidth="1"/>
    <col min="4879" max="4879" width="13.5703125" bestFit="1" customWidth="1"/>
    <col min="5121" max="5121" width="11.42578125" customWidth="1"/>
    <col min="5122" max="5122" width="57" bestFit="1" customWidth="1"/>
    <col min="5123" max="5123" width="11.7109375" bestFit="1" customWidth="1"/>
    <col min="5124" max="5124" width="11.85546875" bestFit="1" customWidth="1"/>
    <col min="5125" max="5125" width="12.7109375" bestFit="1" customWidth="1"/>
    <col min="5126" max="5126" width="12.140625" bestFit="1" customWidth="1"/>
    <col min="5127" max="5127" width="12.42578125" bestFit="1" customWidth="1"/>
    <col min="5128" max="5128" width="12.7109375" bestFit="1" customWidth="1"/>
    <col min="5129" max="5129" width="11.28515625" bestFit="1" customWidth="1"/>
    <col min="5130" max="5130" width="12.42578125" bestFit="1" customWidth="1"/>
    <col min="5131" max="5132" width="12.140625" bestFit="1" customWidth="1"/>
    <col min="5133" max="5134" width="12.42578125" bestFit="1" customWidth="1"/>
    <col min="5135" max="5135" width="13.5703125" bestFit="1" customWidth="1"/>
    <col min="5377" max="5377" width="11.42578125" customWidth="1"/>
    <col min="5378" max="5378" width="57" bestFit="1" customWidth="1"/>
    <col min="5379" max="5379" width="11.7109375" bestFit="1" customWidth="1"/>
    <col min="5380" max="5380" width="11.85546875" bestFit="1" customWidth="1"/>
    <col min="5381" max="5381" width="12.7109375" bestFit="1" customWidth="1"/>
    <col min="5382" max="5382" width="12.140625" bestFit="1" customWidth="1"/>
    <col min="5383" max="5383" width="12.42578125" bestFit="1" customWidth="1"/>
    <col min="5384" max="5384" width="12.7109375" bestFit="1" customWidth="1"/>
    <col min="5385" max="5385" width="11.28515625" bestFit="1" customWidth="1"/>
    <col min="5386" max="5386" width="12.42578125" bestFit="1" customWidth="1"/>
    <col min="5387" max="5388" width="12.140625" bestFit="1" customWidth="1"/>
    <col min="5389" max="5390" width="12.42578125" bestFit="1" customWidth="1"/>
    <col min="5391" max="5391" width="13.5703125" bestFit="1" customWidth="1"/>
    <col min="5633" max="5633" width="11.42578125" customWidth="1"/>
    <col min="5634" max="5634" width="57" bestFit="1" customWidth="1"/>
    <col min="5635" max="5635" width="11.7109375" bestFit="1" customWidth="1"/>
    <col min="5636" max="5636" width="11.85546875" bestFit="1" customWidth="1"/>
    <col min="5637" max="5637" width="12.7109375" bestFit="1" customWidth="1"/>
    <col min="5638" max="5638" width="12.140625" bestFit="1" customWidth="1"/>
    <col min="5639" max="5639" width="12.42578125" bestFit="1" customWidth="1"/>
    <col min="5640" max="5640" width="12.7109375" bestFit="1" customWidth="1"/>
    <col min="5641" max="5641" width="11.28515625" bestFit="1" customWidth="1"/>
    <col min="5642" max="5642" width="12.42578125" bestFit="1" customWidth="1"/>
    <col min="5643" max="5644" width="12.140625" bestFit="1" customWidth="1"/>
    <col min="5645" max="5646" width="12.42578125" bestFit="1" customWidth="1"/>
    <col min="5647" max="5647" width="13.5703125" bestFit="1" customWidth="1"/>
    <col min="5889" max="5889" width="11.42578125" customWidth="1"/>
    <col min="5890" max="5890" width="57" bestFit="1" customWidth="1"/>
    <col min="5891" max="5891" width="11.7109375" bestFit="1" customWidth="1"/>
    <col min="5892" max="5892" width="11.85546875" bestFit="1" customWidth="1"/>
    <col min="5893" max="5893" width="12.7109375" bestFit="1" customWidth="1"/>
    <col min="5894" max="5894" width="12.140625" bestFit="1" customWidth="1"/>
    <col min="5895" max="5895" width="12.42578125" bestFit="1" customWidth="1"/>
    <col min="5896" max="5896" width="12.7109375" bestFit="1" customWidth="1"/>
    <col min="5897" max="5897" width="11.28515625" bestFit="1" customWidth="1"/>
    <col min="5898" max="5898" width="12.42578125" bestFit="1" customWidth="1"/>
    <col min="5899" max="5900" width="12.140625" bestFit="1" customWidth="1"/>
    <col min="5901" max="5902" width="12.42578125" bestFit="1" customWidth="1"/>
    <col min="5903" max="5903" width="13.5703125" bestFit="1" customWidth="1"/>
    <col min="6145" max="6145" width="11.42578125" customWidth="1"/>
    <col min="6146" max="6146" width="57" bestFit="1" customWidth="1"/>
    <col min="6147" max="6147" width="11.7109375" bestFit="1" customWidth="1"/>
    <col min="6148" max="6148" width="11.85546875" bestFit="1" customWidth="1"/>
    <col min="6149" max="6149" width="12.7109375" bestFit="1" customWidth="1"/>
    <col min="6150" max="6150" width="12.140625" bestFit="1" customWidth="1"/>
    <col min="6151" max="6151" width="12.42578125" bestFit="1" customWidth="1"/>
    <col min="6152" max="6152" width="12.7109375" bestFit="1" customWidth="1"/>
    <col min="6153" max="6153" width="11.28515625" bestFit="1" customWidth="1"/>
    <col min="6154" max="6154" width="12.42578125" bestFit="1" customWidth="1"/>
    <col min="6155" max="6156" width="12.140625" bestFit="1" customWidth="1"/>
    <col min="6157" max="6158" width="12.42578125" bestFit="1" customWidth="1"/>
    <col min="6159" max="6159" width="13.5703125" bestFit="1" customWidth="1"/>
    <col min="6401" max="6401" width="11.42578125" customWidth="1"/>
    <col min="6402" max="6402" width="57" bestFit="1" customWidth="1"/>
    <col min="6403" max="6403" width="11.7109375" bestFit="1" customWidth="1"/>
    <col min="6404" max="6404" width="11.85546875" bestFit="1" customWidth="1"/>
    <col min="6405" max="6405" width="12.7109375" bestFit="1" customWidth="1"/>
    <col min="6406" max="6406" width="12.140625" bestFit="1" customWidth="1"/>
    <col min="6407" max="6407" width="12.42578125" bestFit="1" customWidth="1"/>
    <col min="6408" max="6408" width="12.7109375" bestFit="1" customWidth="1"/>
    <col min="6409" max="6409" width="11.28515625" bestFit="1" customWidth="1"/>
    <col min="6410" max="6410" width="12.42578125" bestFit="1" customWidth="1"/>
    <col min="6411" max="6412" width="12.140625" bestFit="1" customWidth="1"/>
    <col min="6413" max="6414" width="12.42578125" bestFit="1" customWidth="1"/>
    <col min="6415" max="6415" width="13.5703125" bestFit="1" customWidth="1"/>
    <col min="6657" max="6657" width="11.42578125" customWidth="1"/>
    <col min="6658" max="6658" width="57" bestFit="1" customWidth="1"/>
    <col min="6659" max="6659" width="11.7109375" bestFit="1" customWidth="1"/>
    <col min="6660" max="6660" width="11.85546875" bestFit="1" customWidth="1"/>
    <col min="6661" max="6661" width="12.7109375" bestFit="1" customWidth="1"/>
    <col min="6662" max="6662" width="12.140625" bestFit="1" customWidth="1"/>
    <col min="6663" max="6663" width="12.42578125" bestFit="1" customWidth="1"/>
    <col min="6664" max="6664" width="12.7109375" bestFit="1" customWidth="1"/>
    <col min="6665" max="6665" width="11.28515625" bestFit="1" customWidth="1"/>
    <col min="6666" max="6666" width="12.42578125" bestFit="1" customWidth="1"/>
    <col min="6667" max="6668" width="12.140625" bestFit="1" customWidth="1"/>
    <col min="6669" max="6670" width="12.42578125" bestFit="1" customWidth="1"/>
    <col min="6671" max="6671" width="13.5703125" bestFit="1" customWidth="1"/>
    <col min="6913" max="6913" width="11.42578125" customWidth="1"/>
    <col min="6914" max="6914" width="57" bestFit="1" customWidth="1"/>
    <col min="6915" max="6915" width="11.7109375" bestFit="1" customWidth="1"/>
    <col min="6916" max="6916" width="11.85546875" bestFit="1" customWidth="1"/>
    <col min="6917" max="6917" width="12.7109375" bestFit="1" customWidth="1"/>
    <col min="6918" max="6918" width="12.140625" bestFit="1" customWidth="1"/>
    <col min="6919" max="6919" width="12.42578125" bestFit="1" customWidth="1"/>
    <col min="6920" max="6920" width="12.7109375" bestFit="1" customWidth="1"/>
    <col min="6921" max="6921" width="11.28515625" bestFit="1" customWidth="1"/>
    <col min="6922" max="6922" width="12.42578125" bestFit="1" customWidth="1"/>
    <col min="6923" max="6924" width="12.140625" bestFit="1" customWidth="1"/>
    <col min="6925" max="6926" width="12.42578125" bestFit="1" customWidth="1"/>
    <col min="6927" max="6927" width="13.5703125" bestFit="1" customWidth="1"/>
    <col min="7169" max="7169" width="11.42578125" customWidth="1"/>
    <col min="7170" max="7170" width="57" bestFit="1" customWidth="1"/>
    <col min="7171" max="7171" width="11.7109375" bestFit="1" customWidth="1"/>
    <col min="7172" max="7172" width="11.85546875" bestFit="1" customWidth="1"/>
    <col min="7173" max="7173" width="12.7109375" bestFit="1" customWidth="1"/>
    <col min="7174" max="7174" width="12.140625" bestFit="1" customWidth="1"/>
    <col min="7175" max="7175" width="12.42578125" bestFit="1" customWidth="1"/>
    <col min="7176" max="7176" width="12.7109375" bestFit="1" customWidth="1"/>
    <col min="7177" max="7177" width="11.28515625" bestFit="1" customWidth="1"/>
    <col min="7178" max="7178" width="12.42578125" bestFit="1" customWidth="1"/>
    <col min="7179" max="7180" width="12.140625" bestFit="1" customWidth="1"/>
    <col min="7181" max="7182" width="12.42578125" bestFit="1" customWidth="1"/>
    <col min="7183" max="7183" width="13.5703125" bestFit="1" customWidth="1"/>
    <col min="7425" max="7425" width="11.42578125" customWidth="1"/>
    <col min="7426" max="7426" width="57" bestFit="1" customWidth="1"/>
    <col min="7427" max="7427" width="11.7109375" bestFit="1" customWidth="1"/>
    <col min="7428" max="7428" width="11.85546875" bestFit="1" customWidth="1"/>
    <col min="7429" max="7429" width="12.7109375" bestFit="1" customWidth="1"/>
    <col min="7430" max="7430" width="12.140625" bestFit="1" customWidth="1"/>
    <col min="7431" max="7431" width="12.42578125" bestFit="1" customWidth="1"/>
    <col min="7432" max="7432" width="12.7109375" bestFit="1" customWidth="1"/>
    <col min="7433" max="7433" width="11.28515625" bestFit="1" customWidth="1"/>
    <col min="7434" max="7434" width="12.42578125" bestFit="1" customWidth="1"/>
    <col min="7435" max="7436" width="12.140625" bestFit="1" customWidth="1"/>
    <col min="7437" max="7438" width="12.42578125" bestFit="1" customWidth="1"/>
    <col min="7439" max="7439" width="13.5703125" bestFit="1" customWidth="1"/>
    <col min="7681" max="7681" width="11.42578125" customWidth="1"/>
    <col min="7682" max="7682" width="57" bestFit="1" customWidth="1"/>
    <col min="7683" max="7683" width="11.7109375" bestFit="1" customWidth="1"/>
    <col min="7684" max="7684" width="11.85546875" bestFit="1" customWidth="1"/>
    <col min="7685" max="7685" width="12.7109375" bestFit="1" customWidth="1"/>
    <col min="7686" max="7686" width="12.140625" bestFit="1" customWidth="1"/>
    <col min="7687" max="7687" width="12.42578125" bestFit="1" customWidth="1"/>
    <col min="7688" max="7688" width="12.7109375" bestFit="1" customWidth="1"/>
    <col min="7689" max="7689" width="11.28515625" bestFit="1" customWidth="1"/>
    <col min="7690" max="7690" width="12.42578125" bestFit="1" customWidth="1"/>
    <col min="7691" max="7692" width="12.140625" bestFit="1" customWidth="1"/>
    <col min="7693" max="7694" width="12.42578125" bestFit="1" customWidth="1"/>
    <col min="7695" max="7695" width="13.5703125" bestFit="1" customWidth="1"/>
    <col min="7937" max="7937" width="11.42578125" customWidth="1"/>
    <col min="7938" max="7938" width="57" bestFit="1" customWidth="1"/>
    <col min="7939" max="7939" width="11.7109375" bestFit="1" customWidth="1"/>
    <col min="7940" max="7940" width="11.85546875" bestFit="1" customWidth="1"/>
    <col min="7941" max="7941" width="12.7109375" bestFit="1" customWidth="1"/>
    <col min="7942" max="7942" width="12.140625" bestFit="1" customWidth="1"/>
    <col min="7943" max="7943" width="12.42578125" bestFit="1" customWidth="1"/>
    <col min="7944" max="7944" width="12.7109375" bestFit="1" customWidth="1"/>
    <col min="7945" max="7945" width="11.28515625" bestFit="1" customWidth="1"/>
    <col min="7946" max="7946" width="12.42578125" bestFit="1" customWidth="1"/>
    <col min="7947" max="7948" width="12.140625" bestFit="1" customWidth="1"/>
    <col min="7949" max="7950" width="12.42578125" bestFit="1" customWidth="1"/>
    <col min="7951" max="7951" width="13.5703125" bestFit="1" customWidth="1"/>
    <col min="8193" max="8193" width="11.42578125" customWidth="1"/>
    <col min="8194" max="8194" width="57" bestFit="1" customWidth="1"/>
    <col min="8195" max="8195" width="11.7109375" bestFit="1" customWidth="1"/>
    <col min="8196" max="8196" width="11.85546875" bestFit="1" customWidth="1"/>
    <col min="8197" max="8197" width="12.7109375" bestFit="1" customWidth="1"/>
    <col min="8198" max="8198" width="12.140625" bestFit="1" customWidth="1"/>
    <col min="8199" max="8199" width="12.42578125" bestFit="1" customWidth="1"/>
    <col min="8200" max="8200" width="12.7109375" bestFit="1" customWidth="1"/>
    <col min="8201" max="8201" width="11.28515625" bestFit="1" customWidth="1"/>
    <col min="8202" max="8202" width="12.42578125" bestFit="1" customWidth="1"/>
    <col min="8203" max="8204" width="12.140625" bestFit="1" customWidth="1"/>
    <col min="8205" max="8206" width="12.42578125" bestFit="1" customWidth="1"/>
    <col min="8207" max="8207" width="13.5703125" bestFit="1" customWidth="1"/>
    <col min="8449" max="8449" width="11.42578125" customWidth="1"/>
    <col min="8450" max="8450" width="57" bestFit="1" customWidth="1"/>
    <col min="8451" max="8451" width="11.7109375" bestFit="1" customWidth="1"/>
    <col min="8452" max="8452" width="11.85546875" bestFit="1" customWidth="1"/>
    <col min="8453" max="8453" width="12.7109375" bestFit="1" customWidth="1"/>
    <col min="8454" max="8454" width="12.140625" bestFit="1" customWidth="1"/>
    <col min="8455" max="8455" width="12.42578125" bestFit="1" customWidth="1"/>
    <col min="8456" max="8456" width="12.7109375" bestFit="1" customWidth="1"/>
    <col min="8457" max="8457" width="11.28515625" bestFit="1" customWidth="1"/>
    <col min="8458" max="8458" width="12.42578125" bestFit="1" customWidth="1"/>
    <col min="8459" max="8460" width="12.140625" bestFit="1" customWidth="1"/>
    <col min="8461" max="8462" width="12.42578125" bestFit="1" customWidth="1"/>
    <col min="8463" max="8463" width="13.5703125" bestFit="1" customWidth="1"/>
    <col min="8705" max="8705" width="11.42578125" customWidth="1"/>
    <col min="8706" max="8706" width="57" bestFit="1" customWidth="1"/>
    <col min="8707" max="8707" width="11.7109375" bestFit="1" customWidth="1"/>
    <col min="8708" max="8708" width="11.85546875" bestFit="1" customWidth="1"/>
    <col min="8709" max="8709" width="12.7109375" bestFit="1" customWidth="1"/>
    <col min="8710" max="8710" width="12.140625" bestFit="1" customWidth="1"/>
    <col min="8711" max="8711" width="12.42578125" bestFit="1" customWidth="1"/>
    <col min="8712" max="8712" width="12.7109375" bestFit="1" customWidth="1"/>
    <col min="8713" max="8713" width="11.28515625" bestFit="1" customWidth="1"/>
    <col min="8714" max="8714" width="12.42578125" bestFit="1" customWidth="1"/>
    <col min="8715" max="8716" width="12.140625" bestFit="1" customWidth="1"/>
    <col min="8717" max="8718" width="12.42578125" bestFit="1" customWidth="1"/>
    <col min="8719" max="8719" width="13.5703125" bestFit="1" customWidth="1"/>
    <col min="8961" max="8961" width="11.42578125" customWidth="1"/>
    <col min="8962" max="8962" width="57" bestFit="1" customWidth="1"/>
    <col min="8963" max="8963" width="11.7109375" bestFit="1" customWidth="1"/>
    <col min="8964" max="8964" width="11.85546875" bestFit="1" customWidth="1"/>
    <col min="8965" max="8965" width="12.7109375" bestFit="1" customWidth="1"/>
    <col min="8966" max="8966" width="12.140625" bestFit="1" customWidth="1"/>
    <col min="8967" max="8967" width="12.42578125" bestFit="1" customWidth="1"/>
    <col min="8968" max="8968" width="12.7109375" bestFit="1" customWidth="1"/>
    <col min="8969" max="8969" width="11.28515625" bestFit="1" customWidth="1"/>
    <col min="8970" max="8970" width="12.42578125" bestFit="1" customWidth="1"/>
    <col min="8971" max="8972" width="12.140625" bestFit="1" customWidth="1"/>
    <col min="8973" max="8974" width="12.42578125" bestFit="1" customWidth="1"/>
    <col min="8975" max="8975" width="13.5703125" bestFit="1" customWidth="1"/>
    <col min="9217" max="9217" width="11.42578125" customWidth="1"/>
    <col min="9218" max="9218" width="57" bestFit="1" customWidth="1"/>
    <col min="9219" max="9219" width="11.7109375" bestFit="1" customWidth="1"/>
    <col min="9220" max="9220" width="11.85546875" bestFit="1" customWidth="1"/>
    <col min="9221" max="9221" width="12.7109375" bestFit="1" customWidth="1"/>
    <col min="9222" max="9222" width="12.140625" bestFit="1" customWidth="1"/>
    <col min="9223" max="9223" width="12.42578125" bestFit="1" customWidth="1"/>
    <col min="9224" max="9224" width="12.7109375" bestFit="1" customWidth="1"/>
    <col min="9225" max="9225" width="11.28515625" bestFit="1" customWidth="1"/>
    <col min="9226" max="9226" width="12.42578125" bestFit="1" customWidth="1"/>
    <col min="9227" max="9228" width="12.140625" bestFit="1" customWidth="1"/>
    <col min="9229" max="9230" width="12.42578125" bestFit="1" customWidth="1"/>
    <col min="9231" max="9231" width="13.5703125" bestFit="1" customWidth="1"/>
    <col min="9473" max="9473" width="11.42578125" customWidth="1"/>
    <col min="9474" max="9474" width="57" bestFit="1" customWidth="1"/>
    <col min="9475" max="9475" width="11.7109375" bestFit="1" customWidth="1"/>
    <col min="9476" max="9476" width="11.85546875" bestFit="1" customWidth="1"/>
    <col min="9477" max="9477" width="12.7109375" bestFit="1" customWidth="1"/>
    <col min="9478" max="9478" width="12.140625" bestFit="1" customWidth="1"/>
    <col min="9479" max="9479" width="12.42578125" bestFit="1" customWidth="1"/>
    <col min="9480" max="9480" width="12.7109375" bestFit="1" customWidth="1"/>
    <col min="9481" max="9481" width="11.28515625" bestFit="1" customWidth="1"/>
    <col min="9482" max="9482" width="12.42578125" bestFit="1" customWidth="1"/>
    <col min="9483" max="9484" width="12.140625" bestFit="1" customWidth="1"/>
    <col min="9485" max="9486" width="12.42578125" bestFit="1" customWidth="1"/>
    <col min="9487" max="9487" width="13.5703125" bestFit="1" customWidth="1"/>
    <col min="9729" max="9729" width="11.42578125" customWidth="1"/>
    <col min="9730" max="9730" width="57" bestFit="1" customWidth="1"/>
    <col min="9731" max="9731" width="11.7109375" bestFit="1" customWidth="1"/>
    <col min="9732" max="9732" width="11.85546875" bestFit="1" customWidth="1"/>
    <col min="9733" max="9733" width="12.7109375" bestFit="1" customWidth="1"/>
    <col min="9734" max="9734" width="12.140625" bestFit="1" customWidth="1"/>
    <col min="9735" max="9735" width="12.42578125" bestFit="1" customWidth="1"/>
    <col min="9736" max="9736" width="12.7109375" bestFit="1" customWidth="1"/>
    <col min="9737" max="9737" width="11.28515625" bestFit="1" customWidth="1"/>
    <col min="9738" max="9738" width="12.42578125" bestFit="1" customWidth="1"/>
    <col min="9739" max="9740" width="12.140625" bestFit="1" customWidth="1"/>
    <col min="9741" max="9742" width="12.42578125" bestFit="1" customWidth="1"/>
    <col min="9743" max="9743" width="13.5703125" bestFit="1" customWidth="1"/>
    <col min="9985" max="9985" width="11.42578125" customWidth="1"/>
    <col min="9986" max="9986" width="57" bestFit="1" customWidth="1"/>
    <col min="9987" max="9987" width="11.7109375" bestFit="1" customWidth="1"/>
    <col min="9988" max="9988" width="11.85546875" bestFit="1" customWidth="1"/>
    <col min="9989" max="9989" width="12.7109375" bestFit="1" customWidth="1"/>
    <col min="9990" max="9990" width="12.140625" bestFit="1" customWidth="1"/>
    <col min="9991" max="9991" width="12.42578125" bestFit="1" customWidth="1"/>
    <col min="9992" max="9992" width="12.7109375" bestFit="1" customWidth="1"/>
    <col min="9993" max="9993" width="11.28515625" bestFit="1" customWidth="1"/>
    <col min="9994" max="9994" width="12.42578125" bestFit="1" customWidth="1"/>
    <col min="9995" max="9996" width="12.140625" bestFit="1" customWidth="1"/>
    <col min="9997" max="9998" width="12.42578125" bestFit="1" customWidth="1"/>
    <col min="9999" max="9999" width="13.5703125" bestFit="1" customWidth="1"/>
    <col min="10241" max="10241" width="11.42578125" customWidth="1"/>
    <col min="10242" max="10242" width="57" bestFit="1" customWidth="1"/>
    <col min="10243" max="10243" width="11.7109375" bestFit="1" customWidth="1"/>
    <col min="10244" max="10244" width="11.85546875" bestFit="1" customWidth="1"/>
    <col min="10245" max="10245" width="12.7109375" bestFit="1" customWidth="1"/>
    <col min="10246" max="10246" width="12.140625" bestFit="1" customWidth="1"/>
    <col min="10247" max="10247" width="12.42578125" bestFit="1" customWidth="1"/>
    <col min="10248" max="10248" width="12.7109375" bestFit="1" customWidth="1"/>
    <col min="10249" max="10249" width="11.28515625" bestFit="1" customWidth="1"/>
    <col min="10250" max="10250" width="12.42578125" bestFit="1" customWidth="1"/>
    <col min="10251" max="10252" width="12.140625" bestFit="1" customWidth="1"/>
    <col min="10253" max="10254" width="12.42578125" bestFit="1" customWidth="1"/>
    <col min="10255" max="10255" width="13.5703125" bestFit="1" customWidth="1"/>
    <col min="10497" max="10497" width="11.42578125" customWidth="1"/>
    <col min="10498" max="10498" width="57" bestFit="1" customWidth="1"/>
    <col min="10499" max="10499" width="11.7109375" bestFit="1" customWidth="1"/>
    <col min="10500" max="10500" width="11.85546875" bestFit="1" customWidth="1"/>
    <col min="10501" max="10501" width="12.7109375" bestFit="1" customWidth="1"/>
    <col min="10502" max="10502" width="12.140625" bestFit="1" customWidth="1"/>
    <col min="10503" max="10503" width="12.42578125" bestFit="1" customWidth="1"/>
    <col min="10504" max="10504" width="12.7109375" bestFit="1" customWidth="1"/>
    <col min="10505" max="10505" width="11.28515625" bestFit="1" customWidth="1"/>
    <col min="10506" max="10506" width="12.42578125" bestFit="1" customWidth="1"/>
    <col min="10507" max="10508" width="12.140625" bestFit="1" customWidth="1"/>
    <col min="10509" max="10510" width="12.42578125" bestFit="1" customWidth="1"/>
    <col min="10511" max="10511" width="13.5703125" bestFit="1" customWidth="1"/>
    <col min="10753" max="10753" width="11.42578125" customWidth="1"/>
    <col min="10754" max="10754" width="57" bestFit="1" customWidth="1"/>
    <col min="10755" max="10755" width="11.7109375" bestFit="1" customWidth="1"/>
    <col min="10756" max="10756" width="11.85546875" bestFit="1" customWidth="1"/>
    <col min="10757" max="10757" width="12.7109375" bestFit="1" customWidth="1"/>
    <col min="10758" max="10758" width="12.140625" bestFit="1" customWidth="1"/>
    <col min="10759" max="10759" width="12.42578125" bestFit="1" customWidth="1"/>
    <col min="10760" max="10760" width="12.7109375" bestFit="1" customWidth="1"/>
    <col min="10761" max="10761" width="11.28515625" bestFit="1" customWidth="1"/>
    <col min="10762" max="10762" width="12.42578125" bestFit="1" customWidth="1"/>
    <col min="10763" max="10764" width="12.140625" bestFit="1" customWidth="1"/>
    <col min="10765" max="10766" width="12.42578125" bestFit="1" customWidth="1"/>
    <col min="10767" max="10767" width="13.5703125" bestFit="1" customWidth="1"/>
    <col min="11009" max="11009" width="11.42578125" customWidth="1"/>
    <col min="11010" max="11010" width="57" bestFit="1" customWidth="1"/>
    <col min="11011" max="11011" width="11.7109375" bestFit="1" customWidth="1"/>
    <col min="11012" max="11012" width="11.85546875" bestFit="1" customWidth="1"/>
    <col min="11013" max="11013" width="12.7109375" bestFit="1" customWidth="1"/>
    <col min="11014" max="11014" width="12.140625" bestFit="1" customWidth="1"/>
    <col min="11015" max="11015" width="12.42578125" bestFit="1" customWidth="1"/>
    <col min="11016" max="11016" width="12.7109375" bestFit="1" customWidth="1"/>
    <col min="11017" max="11017" width="11.28515625" bestFit="1" customWidth="1"/>
    <col min="11018" max="11018" width="12.42578125" bestFit="1" customWidth="1"/>
    <col min="11019" max="11020" width="12.140625" bestFit="1" customWidth="1"/>
    <col min="11021" max="11022" width="12.42578125" bestFit="1" customWidth="1"/>
    <col min="11023" max="11023" width="13.5703125" bestFit="1" customWidth="1"/>
    <col min="11265" max="11265" width="11.42578125" customWidth="1"/>
    <col min="11266" max="11266" width="57" bestFit="1" customWidth="1"/>
    <col min="11267" max="11267" width="11.7109375" bestFit="1" customWidth="1"/>
    <col min="11268" max="11268" width="11.85546875" bestFit="1" customWidth="1"/>
    <col min="11269" max="11269" width="12.7109375" bestFit="1" customWidth="1"/>
    <col min="11270" max="11270" width="12.140625" bestFit="1" customWidth="1"/>
    <col min="11271" max="11271" width="12.42578125" bestFit="1" customWidth="1"/>
    <col min="11272" max="11272" width="12.7109375" bestFit="1" customWidth="1"/>
    <col min="11273" max="11273" width="11.28515625" bestFit="1" customWidth="1"/>
    <col min="11274" max="11274" width="12.42578125" bestFit="1" customWidth="1"/>
    <col min="11275" max="11276" width="12.140625" bestFit="1" customWidth="1"/>
    <col min="11277" max="11278" width="12.42578125" bestFit="1" customWidth="1"/>
    <col min="11279" max="11279" width="13.5703125" bestFit="1" customWidth="1"/>
    <col min="11521" max="11521" width="11.42578125" customWidth="1"/>
    <col min="11522" max="11522" width="57" bestFit="1" customWidth="1"/>
    <col min="11523" max="11523" width="11.7109375" bestFit="1" customWidth="1"/>
    <col min="11524" max="11524" width="11.85546875" bestFit="1" customWidth="1"/>
    <col min="11525" max="11525" width="12.7109375" bestFit="1" customWidth="1"/>
    <col min="11526" max="11526" width="12.140625" bestFit="1" customWidth="1"/>
    <col min="11527" max="11527" width="12.42578125" bestFit="1" customWidth="1"/>
    <col min="11528" max="11528" width="12.7109375" bestFit="1" customWidth="1"/>
    <col min="11529" max="11529" width="11.28515625" bestFit="1" customWidth="1"/>
    <col min="11530" max="11530" width="12.42578125" bestFit="1" customWidth="1"/>
    <col min="11531" max="11532" width="12.140625" bestFit="1" customWidth="1"/>
    <col min="11533" max="11534" width="12.42578125" bestFit="1" customWidth="1"/>
    <col min="11535" max="11535" width="13.5703125" bestFit="1" customWidth="1"/>
    <col min="11777" max="11777" width="11.42578125" customWidth="1"/>
    <col min="11778" max="11778" width="57" bestFit="1" customWidth="1"/>
    <col min="11779" max="11779" width="11.7109375" bestFit="1" customWidth="1"/>
    <col min="11780" max="11780" width="11.85546875" bestFit="1" customWidth="1"/>
    <col min="11781" max="11781" width="12.7109375" bestFit="1" customWidth="1"/>
    <col min="11782" max="11782" width="12.140625" bestFit="1" customWidth="1"/>
    <col min="11783" max="11783" width="12.42578125" bestFit="1" customWidth="1"/>
    <col min="11784" max="11784" width="12.7109375" bestFit="1" customWidth="1"/>
    <col min="11785" max="11785" width="11.28515625" bestFit="1" customWidth="1"/>
    <col min="11786" max="11786" width="12.42578125" bestFit="1" customWidth="1"/>
    <col min="11787" max="11788" width="12.140625" bestFit="1" customWidth="1"/>
    <col min="11789" max="11790" width="12.42578125" bestFit="1" customWidth="1"/>
    <col min="11791" max="11791" width="13.5703125" bestFit="1" customWidth="1"/>
    <col min="12033" max="12033" width="11.42578125" customWidth="1"/>
    <col min="12034" max="12034" width="57" bestFit="1" customWidth="1"/>
    <col min="12035" max="12035" width="11.7109375" bestFit="1" customWidth="1"/>
    <col min="12036" max="12036" width="11.85546875" bestFit="1" customWidth="1"/>
    <col min="12037" max="12037" width="12.7109375" bestFit="1" customWidth="1"/>
    <col min="12038" max="12038" width="12.140625" bestFit="1" customWidth="1"/>
    <col min="12039" max="12039" width="12.42578125" bestFit="1" customWidth="1"/>
    <col min="12040" max="12040" width="12.7109375" bestFit="1" customWidth="1"/>
    <col min="12041" max="12041" width="11.28515625" bestFit="1" customWidth="1"/>
    <col min="12042" max="12042" width="12.42578125" bestFit="1" customWidth="1"/>
    <col min="12043" max="12044" width="12.140625" bestFit="1" customWidth="1"/>
    <col min="12045" max="12046" width="12.42578125" bestFit="1" customWidth="1"/>
    <col min="12047" max="12047" width="13.5703125" bestFit="1" customWidth="1"/>
    <col min="12289" max="12289" width="11.42578125" customWidth="1"/>
    <col min="12290" max="12290" width="57" bestFit="1" customWidth="1"/>
    <col min="12291" max="12291" width="11.7109375" bestFit="1" customWidth="1"/>
    <col min="12292" max="12292" width="11.85546875" bestFit="1" customWidth="1"/>
    <col min="12293" max="12293" width="12.7109375" bestFit="1" customWidth="1"/>
    <col min="12294" max="12294" width="12.140625" bestFit="1" customWidth="1"/>
    <col min="12295" max="12295" width="12.42578125" bestFit="1" customWidth="1"/>
    <col min="12296" max="12296" width="12.7109375" bestFit="1" customWidth="1"/>
    <col min="12297" max="12297" width="11.28515625" bestFit="1" customWidth="1"/>
    <col min="12298" max="12298" width="12.42578125" bestFit="1" customWidth="1"/>
    <col min="12299" max="12300" width="12.140625" bestFit="1" customWidth="1"/>
    <col min="12301" max="12302" width="12.42578125" bestFit="1" customWidth="1"/>
    <col min="12303" max="12303" width="13.5703125" bestFit="1" customWidth="1"/>
    <col min="12545" max="12545" width="11.42578125" customWidth="1"/>
    <col min="12546" max="12546" width="57" bestFit="1" customWidth="1"/>
    <col min="12547" max="12547" width="11.7109375" bestFit="1" customWidth="1"/>
    <col min="12548" max="12548" width="11.85546875" bestFit="1" customWidth="1"/>
    <col min="12549" max="12549" width="12.7109375" bestFit="1" customWidth="1"/>
    <col min="12550" max="12550" width="12.140625" bestFit="1" customWidth="1"/>
    <col min="12551" max="12551" width="12.42578125" bestFit="1" customWidth="1"/>
    <col min="12552" max="12552" width="12.7109375" bestFit="1" customWidth="1"/>
    <col min="12553" max="12553" width="11.28515625" bestFit="1" customWidth="1"/>
    <col min="12554" max="12554" width="12.42578125" bestFit="1" customWidth="1"/>
    <col min="12555" max="12556" width="12.140625" bestFit="1" customWidth="1"/>
    <col min="12557" max="12558" width="12.42578125" bestFit="1" customWidth="1"/>
    <col min="12559" max="12559" width="13.5703125" bestFit="1" customWidth="1"/>
    <col min="12801" max="12801" width="11.42578125" customWidth="1"/>
    <col min="12802" max="12802" width="57" bestFit="1" customWidth="1"/>
    <col min="12803" max="12803" width="11.7109375" bestFit="1" customWidth="1"/>
    <col min="12804" max="12804" width="11.85546875" bestFit="1" customWidth="1"/>
    <col min="12805" max="12805" width="12.7109375" bestFit="1" customWidth="1"/>
    <col min="12806" max="12806" width="12.140625" bestFit="1" customWidth="1"/>
    <col min="12807" max="12807" width="12.42578125" bestFit="1" customWidth="1"/>
    <col min="12808" max="12808" width="12.7109375" bestFit="1" customWidth="1"/>
    <col min="12809" max="12809" width="11.28515625" bestFit="1" customWidth="1"/>
    <col min="12810" max="12810" width="12.42578125" bestFit="1" customWidth="1"/>
    <col min="12811" max="12812" width="12.140625" bestFit="1" customWidth="1"/>
    <col min="12813" max="12814" width="12.42578125" bestFit="1" customWidth="1"/>
    <col min="12815" max="12815" width="13.5703125" bestFit="1" customWidth="1"/>
    <col min="13057" max="13057" width="11.42578125" customWidth="1"/>
    <col min="13058" max="13058" width="57" bestFit="1" customWidth="1"/>
    <col min="13059" max="13059" width="11.7109375" bestFit="1" customWidth="1"/>
    <col min="13060" max="13060" width="11.85546875" bestFit="1" customWidth="1"/>
    <col min="13061" max="13061" width="12.7109375" bestFit="1" customWidth="1"/>
    <col min="13062" max="13062" width="12.140625" bestFit="1" customWidth="1"/>
    <col min="13063" max="13063" width="12.42578125" bestFit="1" customWidth="1"/>
    <col min="13064" max="13064" width="12.7109375" bestFit="1" customWidth="1"/>
    <col min="13065" max="13065" width="11.28515625" bestFit="1" customWidth="1"/>
    <col min="13066" max="13066" width="12.42578125" bestFit="1" customWidth="1"/>
    <col min="13067" max="13068" width="12.140625" bestFit="1" customWidth="1"/>
    <col min="13069" max="13070" width="12.42578125" bestFit="1" customWidth="1"/>
    <col min="13071" max="13071" width="13.5703125" bestFit="1" customWidth="1"/>
    <col min="13313" max="13313" width="11.42578125" customWidth="1"/>
    <col min="13314" max="13314" width="57" bestFit="1" customWidth="1"/>
    <col min="13315" max="13315" width="11.7109375" bestFit="1" customWidth="1"/>
    <col min="13316" max="13316" width="11.85546875" bestFit="1" customWidth="1"/>
    <col min="13317" max="13317" width="12.7109375" bestFit="1" customWidth="1"/>
    <col min="13318" max="13318" width="12.140625" bestFit="1" customWidth="1"/>
    <col min="13319" max="13319" width="12.42578125" bestFit="1" customWidth="1"/>
    <col min="13320" max="13320" width="12.7109375" bestFit="1" customWidth="1"/>
    <col min="13321" max="13321" width="11.28515625" bestFit="1" customWidth="1"/>
    <col min="13322" max="13322" width="12.42578125" bestFit="1" customWidth="1"/>
    <col min="13323" max="13324" width="12.140625" bestFit="1" customWidth="1"/>
    <col min="13325" max="13326" width="12.42578125" bestFit="1" customWidth="1"/>
    <col min="13327" max="13327" width="13.5703125" bestFit="1" customWidth="1"/>
    <col min="13569" max="13569" width="11.42578125" customWidth="1"/>
    <col min="13570" max="13570" width="57" bestFit="1" customWidth="1"/>
    <col min="13571" max="13571" width="11.7109375" bestFit="1" customWidth="1"/>
    <col min="13572" max="13572" width="11.85546875" bestFit="1" customWidth="1"/>
    <col min="13573" max="13573" width="12.7109375" bestFit="1" customWidth="1"/>
    <col min="13574" max="13574" width="12.140625" bestFit="1" customWidth="1"/>
    <col min="13575" max="13575" width="12.42578125" bestFit="1" customWidth="1"/>
    <col min="13576" max="13576" width="12.7109375" bestFit="1" customWidth="1"/>
    <col min="13577" max="13577" width="11.28515625" bestFit="1" customWidth="1"/>
    <col min="13578" max="13578" width="12.42578125" bestFit="1" customWidth="1"/>
    <col min="13579" max="13580" width="12.140625" bestFit="1" customWidth="1"/>
    <col min="13581" max="13582" width="12.42578125" bestFit="1" customWidth="1"/>
    <col min="13583" max="13583" width="13.5703125" bestFit="1" customWidth="1"/>
    <col min="13825" max="13825" width="11.42578125" customWidth="1"/>
    <col min="13826" max="13826" width="57" bestFit="1" customWidth="1"/>
    <col min="13827" max="13827" width="11.7109375" bestFit="1" customWidth="1"/>
    <col min="13828" max="13828" width="11.85546875" bestFit="1" customWidth="1"/>
    <col min="13829" max="13829" width="12.7109375" bestFit="1" customWidth="1"/>
    <col min="13830" max="13830" width="12.140625" bestFit="1" customWidth="1"/>
    <col min="13831" max="13831" width="12.42578125" bestFit="1" customWidth="1"/>
    <col min="13832" max="13832" width="12.7109375" bestFit="1" customWidth="1"/>
    <col min="13833" max="13833" width="11.28515625" bestFit="1" customWidth="1"/>
    <col min="13834" max="13834" width="12.42578125" bestFit="1" customWidth="1"/>
    <col min="13835" max="13836" width="12.140625" bestFit="1" customWidth="1"/>
    <col min="13837" max="13838" width="12.42578125" bestFit="1" customWidth="1"/>
    <col min="13839" max="13839" width="13.5703125" bestFit="1" customWidth="1"/>
    <col min="14081" max="14081" width="11.42578125" customWidth="1"/>
    <col min="14082" max="14082" width="57" bestFit="1" customWidth="1"/>
    <col min="14083" max="14083" width="11.7109375" bestFit="1" customWidth="1"/>
    <col min="14084" max="14084" width="11.85546875" bestFit="1" customWidth="1"/>
    <col min="14085" max="14085" width="12.7109375" bestFit="1" customWidth="1"/>
    <col min="14086" max="14086" width="12.140625" bestFit="1" customWidth="1"/>
    <col min="14087" max="14087" width="12.42578125" bestFit="1" customWidth="1"/>
    <col min="14088" max="14088" width="12.7109375" bestFit="1" customWidth="1"/>
    <col min="14089" max="14089" width="11.28515625" bestFit="1" customWidth="1"/>
    <col min="14090" max="14090" width="12.42578125" bestFit="1" customWidth="1"/>
    <col min="14091" max="14092" width="12.140625" bestFit="1" customWidth="1"/>
    <col min="14093" max="14094" width="12.42578125" bestFit="1" customWidth="1"/>
    <col min="14095" max="14095" width="13.5703125" bestFit="1" customWidth="1"/>
    <col min="14337" max="14337" width="11.42578125" customWidth="1"/>
    <col min="14338" max="14338" width="57" bestFit="1" customWidth="1"/>
    <col min="14339" max="14339" width="11.7109375" bestFit="1" customWidth="1"/>
    <col min="14340" max="14340" width="11.85546875" bestFit="1" customWidth="1"/>
    <col min="14341" max="14341" width="12.7109375" bestFit="1" customWidth="1"/>
    <col min="14342" max="14342" width="12.140625" bestFit="1" customWidth="1"/>
    <col min="14343" max="14343" width="12.42578125" bestFit="1" customWidth="1"/>
    <col min="14344" max="14344" width="12.7109375" bestFit="1" customWidth="1"/>
    <col min="14345" max="14345" width="11.28515625" bestFit="1" customWidth="1"/>
    <col min="14346" max="14346" width="12.42578125" bestFit="1" customWidth="1"/>
    <col min="14347" max="14348" width="12.140625" bestFit="1" customWidth="1"/>
    <col min="14349" max="14350" width="12.42578125" bestFit="1" customWidth="1"/>
    <col min="14351" max="14351" width="13.5703125" bestFit="1" customWidth="1"/>
    <col min="14593" max="14593" width="11.42578125" customWidth="1"/>
    <col min="14594" max="14594" width="57" bestFit="1" customWidth="1"/>
    <col min="14595" max="14595" width="11.7109375" bestFit="1" customWidth="1"/>
    <col min="14596" max="14596" width="11.85546875" bestFit="1" customWidth="1"/>
    <col min="14597" max="14597" width="12.7109375" bestFit="1" customWidth="1"/>
    <col min="14598" max="14598" width="12.140625" bestFit="1" customWidth="1"/>
    <col min="14599" max="14599" width="12.42578125" bestFit="1" customWidth="1"/>
    <col min="14600" max="14600" width="12.7109375" bestFit="1" customWidth="1"/>
    <col min="14601" max="14601" width="11.28515625" bestFit="1" customWidth="1"/>
    <col min="14602" max="14602" width="12.42578125" bestFit="1" customWidth="1"/>
    <col min="14603" max="14604" width="12.140625" bestFit="1" customWidth="1"/>
    <col min="14605" max="14606" width="12.42578125" bestFit="1" customWidth="1"/>
    <col min="14607" max="14607" width="13.5703125" bestFit="1" customWidth="1"/>
    <col min="14849" max="14849" width="11.42578125" customWidth="1"/>
    <col min="14850" max="14850" width="57" bestFit="1" customWidth="1"/>
    <col min="14851" max="14851" width="11.7109375" bestFit="1" customWidth="1"/>
    <col min="14852" max="14852" width="11.85546875" bestFit="1" customWidth="1"/>
    <col min="14853" max="14853" width="12.7109375" bestFit="1" customWidth="1"/>
    <col min="14854" max="14854" width="12.140625" bestFit="1" customWidth="1"/>
    <col min="14855" max="14855" width="12.42578125" bestFit="1" customWidth="1"/>
    <col min="14856" max="14856" width="12.7109375" bestFit="1" customWidth="1"/>
    <col min="14857" max="14857" width="11.28515625" bestFit="1" customWidth="1"/>
    <col min="14858" max="14858" width="12.42578125" bestFit="1" customWidth="1"/>
    <col min="14859" max="14860" width="12.140625" bestFit="1" customWidth="1"/>
    <col min="14861" max="14862" width="12.42578125" bestFit="1" customWidth="1"/>
    <col min="14863" max="14863" width="13.5703125" bestFit="1" customWidth="1"/>
    <col min="15105" max="15105" width="11.42578125" customWidth="1"/>
    <col min="15106" max="15106" width="57" bestFit="1" customWidth="1"/>
    <col min="15107" max="15107" width="11.7109375" bestFit="1" customWidth="1"/>
    <col min="15108" max="15108" width="11.85546875" bestFit="1" customWidth="1"/>
    <col min="15109" max="15109" width="12.7109375" bestFit="1" customWidth="1"/>
    <col min="15110" max="15110" width="12.140625" bestFit="1" customWidth="1"/>
    <col min="15111" max="15111" width="12.42578125" bestFit="1" customWidth="1"/>
    <col min="15112" max="15112" width="12.7109375" bestFit="1" customWidth="1"/>
    <col min="15113" max="15113" width="11.28515625" bestFit="1" customWidth="1"/>
    <col min="15114" max="15114" width="12.42578125" bestFit="1" customWidth="1"/>
    <col min="15115" max="15116" width="12.140625" bestFit="1" customWidth="1"/>
    <col min="15117" max="15118" width="12.42578125" bestFit="1" customWidth="1"/>
    <col min="15119" max="15119" width="13.5703125" bestFit="1" customWidth="1"/>
    <col min="15361" max="15361" width="11.42578125" customWidth="1"/>
    <col min="15362" max="15362" width="57" bestFit="1" customWidth="1"/>
    <col min="15363" max="15363" width="11.7109375" bestFit="1" customWidth="1"/>
    <col min="15364" max="15364" width="11.85546875" bestFit="1" customWidth="1"/>
    <col min="15365" max="15365" width="12.7109375" bestFit="1" customWidth="1"/>
    <col min="15366" max="15366" width="12.140625" bestFit="1" customWidth="1"/>
    <col min="15367" max="15367" width="12.42578125" bestFit="1" customWidth="1"/>
    <col min="15368" max="15368" width="12.7109375" bestFit="1" customWidth="1"/>
    <col min="15369" max="15369" width="11.28515625" bestFit="1" customWidth="1"/>
    <col min="15370" max="15370" width="12.42578125" bestFit="1" customWidth="1"/>
    <col min="15371" max="15372" width="12.140625" bestFit="1" customWidth="1"/>
    <col min="15373" max="15374" width="12.42578125" bestFit="1" customWidth="1"/>
    <col min="15375" max="15375" width="13.5703125" bestFit="1" customWidth="1"/>
    <col min="15617" max="15617" width="11.42578125" customWidth="1"/>
    <col min="15618" max="15618" width="57" bestFit="1" customWidth="1"/>
    <col min="15619" max="15619" width="11.7109375" bestFit="1" customWidth="1"/>
    <col min="15620" max="15620" width="11.85546875" bestFit="1" customWidth="1"/>
    <col min="15621" max="15621" width="12.7109375" bestFit="1" customWidth="1"/>
    <col min="15622" max="15622" width="12.140625" bestFit="1" customWidth="1"/>
    <col min="15623" max="15623" width="12.42578125" bestFit="1" customWidth="1"/>
    <col min="15624" max="15624" width="12.7109375" bestFit="1" customWidth="1"/>
    <col min="15625" max="15625" width="11.28515625" bestFit="1" customWidth="1"/>
    <col min="15626" max="15626" width="12.42578125" bestFit="1" customWidth="1"/>
    <col min="15627" max="15628" width="12.140625" bestFit="1" customWidth="1"/>
    <col min="15629" max="15630" width="12.42578125" bestFit="1" customWidth="1"/>
    <col min="15631" max="15631" width="13.5703125" bestFit="1" customWidth="1"/>
    <col min="15873" max="15873" width="11.42578125" customWidth="1"/>
    <col min="15874" max="15874" width="57" bestFit="1" customWidth="1"/>
    <col min="15875" max="15875" width="11.7109375" bestFit="1" customWidth="1"/>
    <col min="15876" max="15876" width="11.85546875" bestFit="1" customWidth="1"/>
    <col min="15877" max="15877" width="12.7109375" bestFit="1" customWidth="1"/>
    <col min="15878" max="15878" width="12.140625" bestFit="1" customWidth="1"/>
    <col min="15879" max="15879" width="12.42578125" bestFit="1" customWidth="1"/>
    <col min="15880" max="15880" width="12.7109375" bestFit="1" customWidth="1"/>
    <col min="15881" max="15881" width="11.28515625" bestFit="1" customWidth="1"/>
    <col min="15882" max="15882" width="12.42578125" bestFit="1" customWidth="1"/>
    <col min="15883" max="15884" width="12.140625" bestFit="1" customWidth="1"/>
    <col min="15885" max="15886" width="12.42578125" bestFit="1" customWidth="1"/>
    <col min="15887" max="15887" width="13.5703125" bestFit="1" customWidth="1"/>
    <col min="16129" max="16129" width="11.42578125" customWidth="1"/>
    <col min="16130" max="16130" width="57" bestFit="1" customWidth="1"/>
    <col min="16131" max="16131" width="11.7109375" bestFit="1" customWidth="1"/>
    <col min="16132" max="16132" width="11.85546875" bestFit="1" customWidth="1"/>
    <col min="16133" max="16133" width="12.7109375" bestFit="1" customWidth="1"/>
    <col min="16134" max="16134" width="12.140625" bestFit="1" customWidth="1"/>
    <col min="16135" max="16135" width="12.42578125" bestFit="1" customWidth="1"/>
    <col min="16136" max="16136" width="12.7109375" bestFit="1" customWidth="1"/>
    <col min="16137" max="16137" width="11.28515625" bestFit="1" customWidth="1"/>
    <col min="16138" max="16138" width="12.42578125" bestFit="1" customWidth="1"/>
    <col min="16139" max="16140" width="12.140625" bestFit="1" customWidth="1"/>
    <col min="16141" max="16142" width="12.42578125" bestFit="1" customWidth="1"/>
    <col min="16143" max="16143" width="13.5703125" bestFit="1" customWidth="1"/>
  </cols>
  <sheetData>
    <row r="2" spans="1:15" ht="19.5" x14ac:dyDescent="0.3">
      <c r="A2" s="4" t="s">
        <v>1238</v>
      </c>
    </row>
    <row r="3" spans="1:15" ht="18.75" customHeight="1" thickBot="1" x14ac:dyDescent="0.25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40"/>
    </row>
    <row r="4" spans="1:15" ht="42.75" customHeight="1" thickTop="1" thickBot="1" x14ac:dyDescent="0.25">
      <c r="A4" s="13" t="s">
        <v>0</v>
      </c>
      <c r="B4" s="11" t="s">
        <v>1</v>
      </c>
      <c r="C4" s="41">
        <v>43831</v>
      </c>
      <c r="D4" s="41"/>
      <c r="E4" s="41">
        <v>43891</v>
      </c>
      <c r="F4" s="41">
        <v>43922</v>
      </c>
      <c r="G4" s="41">
        <v>43952</v>
      </c>
      <c r="H4" s="41">
        <v>43983</v>
      </c>
      <c r="I4" s="41">
        <v>44013</v>
      </c>
      <c r="J4" s="41">
        <v>44044</v>
      </c>
      <c r="K4" s="41">
        <v>44075</v>
      </c>
      <c r="L4" s="41">
        <v>44105</v>
      </c>
      <c r="M4" s="41">
        <v>44136</v>
      </c>
      <c r="N4" s="41">
        <v>44166</v>
      </c>
      <c r="O4" s="13" t="s">
        <v>804</v>
      </c>
    </row>
    <row r="5" spans="1:15" ht="13.5" thickTop="1" x14ac:dyDescent="0.2">
      <c r="A5" s="20"/>
      <c r="B5" s="20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46">
        <f>SUM(O7+O38+O42)*-1</f>
        <v>-9500236.4897999987</v>
      </c>
    </row>
    <row r="6" spans="1:15" x14ac:dyDescent="0.2">
      <c r="A6" s="20"/>
      <c r="B6" s="20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46"/>
    </row>
    <row r="7" spans="1:15" x14ac:dyDescent="0.2">
      <c r="A7" s="20">
        <v>124210</v>
      </c>
      <c r="B7" s="20" t="s">
        <v>251</v>
      </c>
      <c r="C7" s="16">
        <f t="shared" ref="C7:H7" si="0">SUM(C8:C36)</f>
        <v>312044.21999999997</v>
      </c>
      <c r="D7" s="16">
        <f t="shared" si="0"/>
        <v>311988.00000000006</v>
      </c>
      <c r="E7" s="16">
        <f t="shared" si="0"/>
        <v>314709.21000000002</v>
      </c>
      <c r="F7" s="16">
        <f t="shared" si="0"/>
        <v>313651.90000000002</v>
      </c>
      <c r="G7" s="16">
        <f t="shared" si="0"/>
        <v>310846.03000000003</v>
      </c>
      <c r="H7" s="16">
        <f t="shared" si="0"/>
        <v>311931.18000000005</v>
      </c>
      <c r="I7" s="16">
        <v>311893.61999999994</v>
      </c>
      <c r="J7" s="16">
        <v>312065.33999999997</v>
      </c>
      <c r="K7" s="16">
        <v>312071.91000000015</v>
      </c>
      <c r="L7" s="16">
        <v>310169.57000000007</v>
      </c>
      <c r="M7" s="16">
        <v>309033.43</v>
      </c>
      <c r="N7" s="16">
        <f>SUM(N8:N36)</f>
        <v>309375.23000000004</v>
      </c>
      <c r="O7" s="46">
        <f>SUM(O8:O35)</f>
        <v>3739779.6399999997</v>
      </c>
    </row>
    <row r="8" spans="1:15" x14ac:dyDescent="0.2">
      <c r="A8" s="20">
        <v>124225</v>
      </c>
      <c r="B8" s="20" t="s">
        <v>685</v>
      </c>
      <c r="C8" s="17">
        <v>26825.040000000001</v>
      </c>
      <c r="D8" s="17">
        <v>26797.77</v>
      </c>
      <c r="E8" s="17">
        <v>26797.62</v>
      </c>
      <c r="F8" s="17">
        <v>26739.040000000001</v>
      </c>
      <c r="G8" s="17">
        <v>26738.71</v>
      </c>
      <c r="H8" s="17">
        <v>26708.1</v>
      </c>
      <c r="I8" s="17">
        <v>26677.58</v>
      </c>
      <c r="J8" s="17">
        <v>26677.279999999999</v>
      </c>
      <c r="K8" s="17">
        <v>26672.959999999999</v>
      </c>
      <c r="L8" s="17">
        <v>26673.11</v>
      </c>
      <c r="M8" s="17">
        <v>26557.59</v>
      </c>
      <c r="N8" s="17">
        <f>VLOOKUP(A8,'Balancete Contab. 12 2020'!A:F,6,0)</f>
        <v>26411.56</v>
      </c>
      <c r="O8" s="46">
        <f>SUM(C8:N8)</f>
        <v>320276.36</v>
      </c>
    </row>
    <row r="9" spans="1:15" x14ac:dyDescent="0.2">
      <c r="A9" s="20">
        <v>124230</v>
      </c>
      <c r="B9" s="20" t="s">
        <v>686</v>
      </c>
      <c r="C9" s="17">
        <v>174391.74</v>
      </c>
      <c r="D9" s="17">
        <v>174324.97</v>
      </c>
      <c r="E9" s="17">
        <v>174083.01</v>
      </c>
      <c r="F9" s="17">
        <v>174016.13</v>
      </c>
      <c r="G9" s="17">
        <v>174015.7</v>
      </c>
      <c r="H9" s="17">
        <v>174015.78</v>
      </c>
      <c r="I9" s="17">
        <v>174015.78</v>
      </c>
      <c r="J9" s="17">
        <v>174016.52</v>
      </c>
      <c r="K9" s="17">
        <v>174014.99</v>
      </c>
      <c r="L9" s="17">
        <v>173990.08</v>
      </c>
      <c r="M9" s="17">
        <v>173518.24</v>
      </c>
      <c r="N9" s="17">
        <f>VLOOKUP(A9,'Balancete Contab. 12 2020'!A:F,6,0)</f>
        <v>175648.74</v>
      </c>
      <c r="O9" s="46">
        <f t="shared" ref="O9:O40" si="1">SUM(C9:N9)</f>
        <v>2090051.6800000002</v>
      </c>
    </row>
    <row r="10" spans="1:15" x14ac:dyDescent="0.2">
      <c r="A10" s="20">
        <v>124231</v>
      </c>
      <c r="B10" s="20" t="s">
        <v>687</v>
      </c>
      <c r="C10" s="17">
        <v>4026.63</v>
      </c>
      <c r="D10" s="17">
        <v>4026.65</v>
      </c>
      <c r="E10" s="17">
        <v>5385.38</v>
      </c>
      <c r="F10" s="17">
        <v>5385.45</v>
      </c>
      <c r="G10" s="17">
        <v>5385.5</v>
      </c>
      <c r="H10" s="17">
        <v>5385.42</v>
      </c>
      <c r="I10" s="17">
        <v>5385.48</v>
      </c>
      <c r="J10" s="17">
        <v>5385.46</v>
      </c>
      <c r="K10" s="17">
        <v>5385.45</v>
      </c>
      <c r="L10" s="17">
        <v>5410.44</v>
      </c>
      <c r="M10" s="17">
        <v>5445.07</v>
      </c>
      <c r="N10" s="17">
        <f>VLOOKUP(A10,'Balancete Contab. 12 2020'!A:F,6,0)</f>
        <v>5445.02</v>
      </c>
      <c r="O10" s="46">
        <f t="shared" si="1"/>
        <v>62051.95</v>
      </c>
    </row>
    <row r="11" spans="1:15" x14ac:dyDescent="0.2">
      <c r="A11" s="20">
        <v>124232</v>
      </c>
      <c r="B11" s="20" t="s">
        <v>688</v>
      </c>
      <c r="C11" s="17">
        <v>-3453.66</v>
      </c>
      <c r="D11" s="17">
        <v>-3428.59</v>
      </c>
      <c r="E11" s="17">
        <v>-3428.58</v>
      </c>
      <c r="F11" s="17">
        <v>-3458.19</v>
      </c>
      <c r="G11" s="17">
        <v>-5876.93</v>
      </c>
      <c r="H11" s="17">
        <v>-4667.51</v>
      </c>
      <c r="I11" s="17">
        <v>-4667.5600000000004</v>
      </c>
      <c r="J11" s="17">
        <v>-4667.54</v>
      </c>
      <c r="K11" s="17">
        <v>-4667.53</v>
      </c>
      <c r="L11" s="17">
        <v>-4689.07</v>
      </c>
      <c r="M11" s="17">
        <v>-4718.91</v>
      </c>
      <c r="N11" s="17">
        <f>-VLOOKUP(A11,'Balancete Contab. 12 2020'!A:F,5,0)</f>
        <v>-6674.4</v>
      </c>
      <c r="O11" s="46">
        <f t="shared" si="1"/>
        <v>-54398.469999999994</v>
      </c>
    </row>
    <row r="12" spans="1:15" x14ac:dyDescent="0.2">
      <c r="A12" s="20">
        <v>124235</v>
      </c>
      <c r="B12" s="20" t="s">
        <v>689</v>
      </c>
      <c r="C12" s="17">
        <v>16780.75</v>
      </c>
      <c r="D12" s="17">
        <v>16762.23</v>
      </c>
      <c r="E12" s="17">
        <v>16859.39</v>
      </c>
      <c r="F12" s="17">
        <v>17008.64</v>
      </c>
      <c r="G12" s="17">
        <v>16973.169999999998</v>
      </c>
      <c r="H12" s="17">
        <v>16972.12</v>
      </c>
      <c r="I12" s="17">
        <v>16973.330000000002</v>
      </c>
      <c r="J12" s="17">
        <v>17302.16</v>
      </c>
      <c r="K12" s="17">
        <v>17403.3</v>
      </c>
      <c r="L12" s="17">
        <v>17766.96</v>
      </c>
      <c r="M12" s="17">
        <v>17746.400000000001</v>
      </c>
      <c r="N12" s="17">
        <f>VLOOKUP(A12,'Balancete Contab. 12 2020'!A:F,6,0)</f>
        <v>17845.96</v>
      </c>
      <c r="O12" s="46">
        <f t="shared" si="1"/>
        <v>206394.40999999995</v>
      </c>
    </row>
    <row r="13" spans="1:15" x14ac:dyDescent="0.2">
      <c r="A13" s="20">
        <v>124236</v>
      </c>
      <c r="B13" s="20" t="s">
        <v>690</v>
      </c>
      <c r="C13" s="17">
        <v>379.33</v>
      </c>
      <c r="D13" s="17">
        <v>379.3</v>
      </c>
      <c r="E13" s="17">
        <v>919.1</v>
      </c>
      <c r="F13" s="17">
        <v>919.03</v>
      </c>
      <c r="G13" s="17">
        <v>919.07</v>
      </c>
      <c r="H13" s="17">
        <v>919.02</v>
      </c>
      <c r="I13" s="17">
        <v>919.03</v>
      </c>
      <c r="J13" s="17">
        <v>919.03</v>
      </c>
      <c r="K13" s="17">
        <v>919.14</v>
      </c>
      <c r="L13" s="17">
        <v>919.1</v>
      </c>
      <c r="M13" s="17">
        <v>919.09</v>
      </c>
      <c r="N13" s="17">
        <f>VLOOKUP(A13,'Balancete Contab. 12 2020'!A:F,6,0)</f>
        <v>919.02</v>
      </c>
      <c r="O13" s="46">
        <f t="shared" si="1"/>
        <v>9949.26</v>
      </c>
    </row>
    <row r="14" spans="1:15" x14ac:dyDescent="0.2">
      <c r="A14" s="20">
        <v>124237</v>
      </c>
      <c r="B14" s="20" t="s">
        <v>691</v>
      </c>
      <c r="C14" s="17">
        <v>-317.83</v>
      </c>
      <c r="D14" s="17">
        <v>-317.38</v>
      </c>
      <c r="E14" s="17">
        <v>-317.48</v>
      </c>
      <c r="F14" s="17">
        <v>-798.24</v>
      </c>
      <c r="G14" s="17">
        <v>-798.27</v>
      </c>
      <c r="H14" s="17">
        <v>-798.23</v>
      </c>
      <c r="I14" s="17">
        <v>-798.24</v>
      </c>
      <c r="J14" s="17">
        <v>-798.24</v>
      </c>
      <c r="K14" s="17">
        <v>-798.33</v>
      </c>
      <c r="L14" s="17">
        <v>-798.31</v>
      </c>
      <c r="M14" s="17">
        <v>-798.29</v>
      </c>
      <c r="N14" s="17">
        <f>-VLOOKUP(A14,'Balancete Contab. 12 2020'!A:F,5,0)</f>
        <v>-947.03</v>
      </c>
      <c r="O14" s="46">
        <f t="shared" si="1"/>
        <v>-8285.869999999999</v>
      </c>
    </row>
    <row r="15" spans="1:15" x14ac:dyDescent="0.2">
      <c r="A15" s="20">
        <v>124255</v>
      </c>
      <c r="B15" s="20" t="s">
        <v>692</v>
      </c>
      <c r="C15" s="17">
        <v>9691.19</v>
      </c>
      <c r="D15" s="17">
        <v>9715.49</v>
      </c>
      <c r="E15" s="17">
        <v>9861.08</v>
      </c>
      <c r="F15" s="17">
        <v>9545.31</v>
      </c>
      <c r="G15" s="17">
        <v>9269.99</v>
      </c>
      <c r="H15" s="17">
        <v>9216.74</v>
      </c>
      <c r="I15" s="17">
        <v>9216.7800000000007</v>
      </c>
      <c r="J15" s="17">
        <v>8998.61</v>
      </c>
      <c r="K15" s="17">
        <v>9159.91</v>
      </c>
      <c r="L15" s="17">
        <v>9159.91</v>
      </c>
      <c r="M15" s="17">
        <v>9199.43</v>
      </c>
      <c r="N15" s="17">
        <f>VLOOKUP(A15,'Balancete Contab. 12 2020'!A:F,6,0)</f>
        <v>10938.48</v>
      </c>
      <c r="O15" s="46">
        <f t="shared" si="1"/>
        <v>113972.92</v>
      </c>
    </row>
    <row r="16" spans="1:15" x14ac:dyDescent="0.2">
      <c r="A16" s="20">
        <v>124256</v>
      </c>
      <c r="B16" s="20" t="s">
        <v>693</v>
      </c>
      <c r="C16" s="17">
        <v>5616.84</v>
      </c>
      <c r="D16" s="17">
        <v>5755.41</v>
      </c>
      <c r="E16" s="17">
        <v>5475.81</v>
      </c>
      <c r="F16" s="17">
        <v>5702.26</v>
      </c>
      <c r="G16" s="17">
        <v>5702.17</v>
      </c>
      <c r="H16" s="17">
        <v>5755</v>
      </c>
      <c r="I16" s="17">
        <v>5755.41</v>
      </c>
      <c r="J16" s="17">
        <v>5971.61</v>
      </c>
      <c r="K16" s="17">
        <v>5754.98</v>
      </c>
      <c r="L16" s="17">
        <v>5755.38</v>
      </c>
      <c r="M16" s="17">
        <v>5755.43</v>
      </c>
      <c r="N16" s="17">
        <f>VLOOKUP(A16,'Balancete Contab. 12 2020'!A:F,6,0)</f>
        <v>5951.29</v>
      </c>
      <c r="O16" s="46">
        <f t="shared" si="1"/>
        <v>68951.589999999982</v>
      </c>
    </row>
    <row r="17" spans="1:15" x14ac:dyDescent="0.2">
      <c r="A17" s="20">
        <v>124257</v>
      </c>
      <c r="B17" s="20" t="s">
        <v>694</v>
      </c>
      <c r="C17" s="17">
        <v>-4675</v>
      </c>
      <c r="D17" s="17">
        <v>-4881.3599999999997</v>
      </c>
      <c r="E17" s="17">
        <v>-4881</v>
      </c>
      <c r="F17" s="17">
        <v>-4868.54</v>
      </c>
      <c r="G17" s="17">
        <v>-4868.42</v>
      </c>
      <c r="H17" s="17">
        <v>-4915.46</v>
      </c>
      <c r="I17" s="17">
        <v>-4915.84</v>
      </c>
      <c r="J17" s="17">
        <v>-5108.22</v>
      </c>
      <c r="K17" s="17">
        <v>-4915.4399999999996</v>
      </c>
      <c r="L17" s="17">
        <v>-4915.8100000000004</v>
      </c>
      <c r="M17" s="17">
        <v>-4915.82</v>
      </c>
      <c r="N17" s="17">
        <f>-VLOOKUP(A17,'Balancete Contab. 12 2020'!A:F,5,0)</f>
        <v>-6784.37</v>
      </c>
      <c r="O17" s="46">
        <f t="shared" si="1"/>
        <v>-60645.279999999999</v>
      </c>
    </row>
    <row r="18" spans="1:15" x14ac:dyDescent="0.2">
      <c r="A18" s="20">
        <v>124260</v>
      </c>
      <c r="B18" s="15" t="s">
        <v>695</v>
      </c>
      <c r="C18" s="17">
        <v>4157.43</v>
      </c>
      <c r="D18" s="17">
        <v>4157.28</v>
      </c>
      <c r="E18" s="17">
        <v>4157.37</v>
      </c>
      <c r="F18" s="17">
        <v>4157.29</v>
      </c>
      <c r="G18" s="17">
        <v>4157.1000000000004</v>
      </c>
      <c r="H18" s="17">
        <v>4157.45</v>
      </c>
      <c r="I18" s="17">
        <v>4157.26</v>
      </c>
      <c r="J18" s="17">
        <v>4157.4399999999996</v>
      </c>
      <c r="K18" s="17">
        <v>4157.21</v>
      </c>
      <c r="L18" s="17">
        <v>4157.45</v>
      </c>
      <c r="M18" s="17">
        <v>4157.26</v>
      </c>
      <c r="N18" s="17">
        <f>VLOOKUP(A18,'Balancete Contab. 12 2020'!A:F,6,0)</f>
        <v>4157.29</v>
      </c>
      <c r="O18" s="46">
        <f t="shared" si="1"/>
        <v>49887.83</v>
      </c>
    </row>
    <row r="19" spans="1:15" x14ac:dyDescent="0.2">
      <c r="A19" s="20">
        <v>124270</v>
      </c>
      <c r="B19" s="20" t="s">
        <v>696</v>
      </c>
      <c r="C19" s="17">
        <v>59036.72</v>
      </c>
      <c r="D19" s="17">
        <v>59091.49</v>
      </c>
      <c r="E19" s="17">
        <v>59653.3</v>
      </c>
      <c r="F19" s="17">
        <v>59665.01</v>
      </c>
      <c r="G19" s="17">
        <v>59589.22</v>
      </c>
      <c r="H19" s="17">
        <v>59544.2</v>
      </c>
      <c r="I19" s="17">
        <v>59535.97</v>
      </c>
      <c r="J19" s="17">
        <v>59572.43</v>
      </c>
      <c r="K19" s="17">
        <v>59346.31</v>
      </c>
      <c r="L19" s="17">
        <v>57103.23</v>
      </c>
      <c r="M19" s="17">
        <v>56528.25</v>
      </c>
      <c r="N19" s="17">
        <f>VLOOKUP(A19,'Balancete Contab. 12 2020'!A:F,6,0)</f>
        <v>57767.21</v>
      </c>
      <c r="O19" s="46">
        <f t="shared" si="1"/>
        <v>706433.34</v>
      </c>
    </row>
    <row r="20" spans="1:15" x14ac:dyDescent="0.2">
      <c r="A20" s="20">
        <v>124275</v>
      </c>
      <c r="B20" s="20" t="s">
        <v>697</v>
      </c>
      <c r="C20" s="17">
        <v>2850.48</v>
      </c>
      <c r="D20" s="17">
        <v>2852.21</v>
      </c>
      <c r="E20" s="17">
        <v>3093.58</v>
      </c>
      <c r="F20" s="17">
        <v>3093.62</v>
      </c>
      <c r="G20" s="17">
        <v>3093.97</v>
      </c>
      <c r="H20" s="17">
        <v>3094.22</v>
      </c>
      <c r="I20" s="17">
        <v>3092.87</v>
      </c>
      <c r="J20" s="17">
        <v>3094.72</v>
      </c>
      <c r="K20" s="17">
        <v>3094.01</v>
      </c>
      <c r="L20" s="17">
        <v>3093.21</v>
      </c>
      <c r="M20" s="17">
        <v>3101.24</v>
      </c>
      <c r="N20" s="17">
        <f>VLOOKUP(A20,'Balancete Contab. 12 2020'!A:F,6,0)</f>
        <v>3124.41</v>
      </c>
      <c r="O20" s="46">
        <f t="shared" si="1"/>
        <v>36678.539999999994</v>
      </c>
    </row>
    <row r="21" spans="1:15" x14ac:dyDescent="0.2">
      <c r="A21" s="20">
        <v>124276</v>
      </c>
      <c r="B21" s="20" t="s">
        <v>698</v>
      </c>
      <c r="C21" s="17">
        <v>-2456.44</v>
      </c>
      <c r="D21" s="17">
        <v>-2437.17</v>
      </c>
      <c r="E21" s="17">
        <v>-2433.4499999999998</v>
      </c>
      <c r="F21" s="17">
        <v>-2676.75</v>
      </c>
      <c r="G21" s="17">
        <v>-2677.08</v>
      </c>
      <c r="H21" s="17">
        <v>-2677.26</v>
      </c>
      <c r="I21" s="17">
        <v>-2676.12</v>
      </c>
      <c r="J21" s="17">
        <v>-2677.69</v>
      </c>
      <c r="K21" s="17">
        <v>-2677.1</v>
      </c>
      <c r="L21" s="17">
        <v>-2676.39</v>
      </c>
      <c r="M21" s="17">
        <v>-2683.15</v>
      </c>
      <c r="N21" s="17">
        <f>-VLOOKUP(A21,'Balancete Contab. 12 2020'!A:F,5,0)</f>
        <v>-3649.99</v>
      </c>
      <c r="O21" s="46">
        <f t="shared" si="1"/>
        <v>-32398.589999999997</v>
      </c>
    </row>
    <row r="22" spans="1:15" x14ac:dyDescent="0.2">
      <c r="A22" s="20">
        <v>124300</v>
      </c>
      <c r="B22" s="20" t="s">
        <v>699</v>
      </c>
      <c r="C22" s="17">
        <v>0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f>VLOOKUP(A22,'Balancete Contab. 12 2020'!A:F,6,0)</f>
        <v>0</v>
      </c>
      <c r="O22" s="46">
        <f t="shared" si="1"/>
        <v>0</v>
      </c>
    </row>
    <row r="23" spans="1:15" x14ac:dyDescent="0.2">
      <c r="A23" s="20">
        <v>124305</v>
      </c>
      <c r="B23" s="20" t="s">
        <v>700</v>
      </c>
      <c r="C23" s="17">
        <v>9806.9500000000007</v>
      </c>
      <c r="D23" s="17">
        <v>9806.9599999999991</v>
      </c>
      <c r="E23" s="17">
        <v>9806.94</v>
      </c>
      <c r="F23" s="17">
        <v>9806.9599999999991</v>
      </c>
      <c r="G23" s="17">
        <v>9807.0499999999993</v>
      </c>
      <c r="H23" s="17">
        <v>9806.93</v>
      </c>
      <c r="I23" s="17">
        <v>9806.98</v>
      </c>
      <c r="J23" s="17">
        <v>9806.93</v>
      </c>
      <c r="K23" s="17">
        <v>9806.99</v>
      </c>
      <c r="L23" s="17">
        <v>9807.0300000000007</v>
      </c>
      <c r="M23" s="17">
        <v>9806.93</v>
      </c>
      <c r="N23" s="17">
        <f>VLOOKUP(A23,'Balancete Contab. 12 2020'!A:F,6,0)</f>
        <v>9806.9599999999991</v>
      </c>
      <c r="O23" s="46">
        <f t="shared" si="1"/>
        <v>117683.61000000002</v>
      </c>
    </row>
    <row r="24" spans="1:15" x14ac:dyDescent="0.2">
      <c r="A24" s="20">
        <v>124306</v>
      </c>
      <c r="B24" s="20" t="s">
        <v>773</v>
      </c>
      <c r="C24" s="17">
        <v>2.12</v>
      </c>
      <c r="D24" s="17">
        <v>2.12</v>
      </c>
      <c r="E24" s="17">
        <v>48.68</v>
      </c>
      <c r="F24" s="17">
        <v>48.69</v>
      </c>
      <c r="G24" s="17">
        <v>48.69</v>
      </c>
      <c r="H24" s="17">
        <v>48.7</v>
      </c>
      <c r="I24" s="17">
        <v>48.69</v>
      </c>
      <c r="J24" s="17">
        <v>48.68</v>
      </c>
      <c r="K24" s="17">
        <v>48.7</v>
      </c>
      <c r="L24" s="17">
        <v>48.69</v>
      </c>
      <c r="M24" s="17">
        <v>48.69</v>
      </c>
      <c r="N24" s="17">
        <f>VLOOKUP(A24,'Balancete Contab. 12 2020'!A:F,6,0)</f>
        <v>48.7</v>
      </c>
      <c r="O24" s="46">
        <f t="shared" si="1"/>
        <v>491.15</v>
      </c>
    </row>
    <row r="25" spans="1:15" x14ac:dyDescent="0.2">
      <c r="A25" s="20">
        <v>124308</v>
      </c>
      <c r="B25" s="20" t="s">
        <v>774</v>
      </c>
      <c r="C25" s="17">
        <v>-1.88</v>
      </c>
      <c r="D25" s="17">
        <v>-1.85</v>
      </c>
      <c r="E25" s="17">
        <v>-1.85</v>
      </c>
      <c r="F25" s="17">
        <v>-43.34</v>
      </c>
      <c r="G25" s="17">
        <v>-43.34</v>
      </c>
      <c r="H25" s="17">
        <v>-43.35</v>
      </c>
      <c r="I25" s="17">
        <v>-43.34</v>
      </c>
      <c r="J25" s="17">
        <v>-43.33</v>
      </c>
      <c r="K25" s="17">
        <v>-43.35</v>
      </c>
      <c r="L25" s="17">
        <v>-43.34</v>
      </c>
      <c r="M25" s="17">
        <v>-43.34</v>
      </c>
      <c r="N25" s="17">
        <f>-VLOOKUP(A25,'Balancete Contab. 12 2020'!A:F,5,0)</f>
        <v>-43.35</v>
      </c>
      <c r="O25" s="46">
        <f t="shared" si="1"/>
        <v>-395.66000000000008</v>
      </c>
    </row>
    <row r="26" spans="1:15" x14ac:dyDescent="0.2">
      <c r="A26" s="20">
        <v>124316</v>
      </c>
      <c r="B26" s="20" t="s">
        <v>775</v>
      </c>
      <c r="C26" s="17">
        <v>1.6</v>
      </c>
      <c r="D26" s="17">
        <v>1.6</v>
      </c>
      <c r="E26" s="17">
        <v>1.6</v>
      </c>
      <c r="F26" s="17">
        <v>1.6</v>
      </c>
      <c r="G26" s="17">
        <v>1.6</v>
      </c>
      <c r="H26" s="17">
        <v>1.6</v>
      </c>
      <c r="I26" s="17">
        <v>1.6</v>
      </c>
      <c r="J26" s="17">
        <v>1.6</v>
      </c>
      <c r="K26" s="17">
        <v>1.6</v>
      </c>
      <c r="L26" s="17">
        <v>1.6</v>
      </c>
      <c r="M26" s="17">
        <v>1.6</v>
      </c>
      <c r="N26" s="17">
        <f>VLOOKUP(A26,'Balancete Contab. 12 2020'!A:F,6,0)</f>
        <v>1.6</v>
      </c>
      <c r="O26" s="46">
        <f t="shared" si="1"/>
        <v>19.2</v>
      </c>
    </row>
    <row r="27" spans="1:15" x14ac:dyDescent="0.2">
      <c r="A27" s="20">
        <v>124318</v>
      </c>
      <c r="B27" s="20" t="s">
        <v>776</v>
      </c>
      <c r="C27" s="17">
        <v>-1.42</v>
      </c>
      <c r="D27" s="17">
        <v>-1.4</v>
      </c>
      <c r="E27" s="17">
        <v>-1.4</v>
      </c>
      <c r="F27" s="17">
        <v>-1.42</v>
      </c>
      <c r="G27" s="17">
        <v>-1.42</v>
      </c>
      <c r="H27" s="17">
        <v>-1.42</v>
      </c>
      <c r="I27" s="17">
        <v>-1.42</v>
      </c>
      <c r="J27" s="17">
        <v>-1.42</v>
      </c>
      <c r="K27" s="17">
        <v>-1.42</v>
      </c>
      <c r="L27" s="17">
        <v>-1.42</v>
      </c>
      <c r="M27" s="17">
        <v>-1.42</v>
      </c>
      <c r="N27" s="17">
        <f>-VLOOKUP(A27,'Balancete Contab. 12 2020'!A:F,5,0)</f>
        <v>-1.42</v>
      </c>
      <c r="O27" s="46">
        <f t="shared" si="1"/>
        <v>-17</v>
      </c>
    </row>
    <row r="28" spans="1:15" x14ac:dyDescent="0.2">
      <c r="A28" s="20">
        <v>124321</v>
      </c>
      <c r="B28" s="20" t="s">
        <v>777</v>
      </c>
      <c r="C28" s="17">
        <v>7.13</v>
      </c>
      <c r="D28" s="17">
        <v>7.14</v>
      </c>
      <c r="E28" s="17">
        <v>165.62</v>
      </c>
      <c r="F28" s="17">
        <v>165.63</v>
      </c>
      <c r="G28" s="17">
        <v>165.64</v>
      </c>
      <c r="H28" s="17">
        <v>165.64</v>
      </c>
      <c r="I28" s="17">
        <v>165.64</v>
      </c>
      <c r="J28" s="17">
        <v>165.62</v>
      </c>
      <c r="K28" s="17">
        <v>165.64</v>
      </c>
      <c r="L28" s="17">
        <v>165.64</v>
      </c>
      <c r="M28" s="17">
        <v>165.63</v>
      </c>
      <c r="N28" s="17">
        <f>VLOOKUP(A28,'Balancete Contab. 12 2020'!A:F,6,0)</f>
        <v>165.65</v>
      </c>
      <c r="O28" s="46">
        <f t="shared" si="1"/>
        <v>1670.62</v>
      </c>
    </row>
    <row r="29" spans="1:15" x14ac:dyDescent="0.2">
      <c r="A29" s="20">
        <v>124323</v>
      </c>
      <c r="B29" s="20" t="s">
        <v>778</v>
      </c>
      <c r="C29" s="17">
        <v>-6.33</v>
      </c>
      <c r="D29" s="17">
        <v>-6.24</v>
      </c>
      <c r="E29" s="17">
        <v>-6.22</v>
      </c>
      <c r="F29" s="17">
        <v>-147.41999999999999</v>
      </c>
      <c r="G29" s="17">
        <v>-147.41999999999999</v>
      </c>
      <c r="H29" s="17">
        <v>-147.41999999999999</v>
      </c>
      <c r="I29" s="17">
        <v>-147.41999999999999</v>
      </c>
      <c r="J29" s="17">
        <v>-147.41</v>
      </c>
      <c r="K29" s="17">
        <v>-147.41999999999999</v>
      </c>
      <c r="L29" s="17">
        <v>-147.41999999999999</v>
      </c>
      <c r="M29" s="17">
        <v>-147.41999999999999</v>
      </c>
      <c r="N29" s="17">
        <f>-VLOOKUP(A29,'Balancete Contab. 12 2020'!A:F,5,0)</f>
        <v>-147.41999999999999</v>
      </c>
      <c r="O29" s="46">
        <f t="shared" si="1"/>
        <v>-1345.56</v>
      </c>
    </row>
    <row r="30" spans="1:15" x14ac:dyDescent="0.2">
      <c r="A30" s="20">
        <v>124326</v>
      </c>
      <c r="B30" s="20" t="s">
        <v>779</v>
      </c>
      <c r="C30" s="17">
        <v>1.88</v>
      </c>
      <c r="D30" s="17">
        <v>1.87</v>
      </c>
      <c r="E30" s="17">
        <v>91.24</v>
      </c>
      <c r="F30" s="17">
        <v>91.31</v>
      </c>
      <c r="G30" s="17">
        <v>91.25</v>
      </c>
      <c r="H30" s="17">
        <v>91.3</v>
      </c>
      <c r="I30" s="17">
        <v>91.28</v>
      </c>
      <c r="J30" s="17">
        <v>91.28</v>
      </c>
      <c r="K30" s="17">
        <v>91.27</v>
      </c>
      <c r="L30" s="17">
        <v>91.31</v>
      </c>
      <c r="M30" s="17">
        <v>91.25</v>
      </c>
      <c r="N30" s="17">
        <f>VLOOKUP(A30,'Balancete Contab. 12 2020'!A:F,6,0)</f>
        <v>91.3</v>
      </c>
      <c r="O30" s="46">
        <f t="shared" si="1"/>
        <v>916.54</v>
      </c>
    </row>
    <row r="31" spans="1:15" x14ac:dyDescent="0.2">
      <c r="A31" s="20">
        <v>124328</v>
      </c>
      <c r="B31" s="20" t="s">
        <v>780</v>
      </c>
      <c r="C31" s="17">
        <v>-1.67</v>
      </c>
      <c r="D31" s="17">
        <v>-1.63</v>
      </c>
      <c r="E31" s="17">
        <v>-1.62</v>
      </c>
      <c r="F31" s="17">
        <v>-81.260000000000005</v>
      </c>
      <c r="G31" s="17">
        <v>-81.22</v>
      </c>
      <c r="H31" s="17">
        <v>-81.25</v>
      </c>
      <c r="I31" s="17">
        <v>-81.239999999999995</v>
      </c>
      <c r="J31" s="17">
        <v>-81.239999999999995</v>
      </c>
      <c r="K31" s="17">
        <v>-81.23</v>
      </c>
      <c r="L31" s="17">
        <v>-81.260000000000005</v>
      </c>
      <c r="M31" s="17">
        <v>-81.22</v>
      </c>
      <c r="N31" s="17">
        <f>-VLOOKUP(A31,'Balancete Contab. 12 2020'!A:F,5,0)</f>
        <v>-81.25</v>
      </c>
      <c r="O31" s="46">
        <f t="shared" si="1"/>
        <v>-736.09</v>
      </c>
    </row>
    <row r="32" spans="1:15" x14ac:dyDescent="0.2">
      <c r="A32" s="20"/>
      <c r="B32" s="20"/>
      <c r="C32" s="17"/>
      <c r="D32" s="17"/>
      <c r="E32" s="44"/>
      <c r="F32" s="17"/>
      <c r="G32" s="17"/>
      <c r="H32" s="17"/>
      <c r="I32" s="17"/>
      <c r="J32" s="17"/>
      <c r="K32" s="17"/>
      <c r="L32" s="17"/>
      <c r="M32" s="17"/>
      <c r="N32" s="17"/>
      <c r="O32" s="46"/>
    </row>
    <row r="33" spans="1:15" x14ac:dyDescent="0.2">
      <c r="A33" s="20">
        <v>124315</v>
      </c>
      <c r="B33" s="20" t="s">
        <v>701</v>
      </c>
      <c r="C33" s="17">
        <v>1039.81</v>
      </c>
      <c r="D33" s="17">
        <v>1038.18</v>
      </c>
      <c r="E33" s="17">
        <v>1038.19</v>
      </c>
      <c r="F33" s="17">
        <v>1038.21</v>
      </c>
      <c r="G33" s="17">
        <v>1038.1500000000001</v>
      </c>
      <c r="H33" s="17">
        <v>1038.18</v>
      </c>
      <c r="I33" s="17">
        <v>1038.22</v>
      </c>
      <c r="J33" s="17">
        <v>1038.19</v>
      </c>
      <c r="K33" s="17">
        <v>1038.19</v>
      </c>
      <c r="L33" s="17">
        <v>1036.58</v>
      </c>
      <c r="M33" s="17">
        <v>1038.2</v>
      </c>
      <c r="N33" s="17">
        <f>VLOOKUP(A33,'Balancete Contab. 12 2020'!A:F,6,0)</f>
        <v>1038.22</v>
      </c>
      <c r="O33" s="46">
        <f t="shared" si="1"/>
        <v>12458.32</v>
      </c>
    </row>
    <row r="34" spans="1:15" x14ac:dyDescent="0.2">
      <c r="A34" s="20">
        <v>124320</v>
      </c>
      <c r="B34" s="20" t="s">
        <v>702</v>
      </c>
      <c r="C34" s="17">
        <v>5158.72</v>
      </c>
      <c r="D34" s="17">
        <v>5158.8</v>
      </c>
      <c r="E34" s="17">
        <v>5158.7700000000004</v>
      </c>
      <c r="F34" s="17">
        <v>5158.74</v>
      </c>
      <c r="G34" s="17">
        <v>5158.9399999999996</v>
      </c>
      <c r="H34" s="17">
        <v>5158.59</v>
      </c>
      <c r="I34" s="17">
        <v>5158.8</v>
      </c>
      <c r="J34" s="17">
        <v>5158.71</v>
      </c>
      <c r="K34" s="17">
        <v>5158.8900000000003</v>
      </c>
      <c r="L34" s="17">
        <v>5158.74</v>
      </c>
      <c r="M34" s="17">
        <v>5158.67</v>
      </c>
      <c r="N34" s="17">
        <f>VLOOKUP(A34,'Balancete Contab. 12 2020'!A:F,6,0)</f>
        <v>5158.82</v>
      </c>
      <c r="O34" s="46">
        <f t="shared" si="1"/>
        <v>61905.189999999995</v>
      </c>
    </row>
    <row r="35" spans="1:15" x14ac:dyDescent="0.2">
      <c r="A35" s="20">
        <v>124325</v>
      </c>
      <c r="B35" s="20" t="s">
        <v>703</v>
      </c>
      <c r="C35" s="17">
        <v>3184.09</v>
      </c>
      <c r="D35" s="17">
        <v>3184.15</v>
      </c>
      <c r="E35" s="17">
        <v>3184.13</v>
      </c>
      <c r="F35" s="17">
        <v>3184.14</v>
      </c>
      <c r="G35" s="17">
        <v>3184.21</v>
      </c>
      <c r="H35" s="17">
        <v>3184.09</v>
      </c>
      <c r="I35" s="17">
        <v>3184.1</v>
      </c>
      <c r="J35" s="17">
        <v>3184.16</v>
      </c>
      <c r="K35" s="17">
        <v>3184.19</v>
      </c>
      <c r="L35" s="17">
        <v>3184.13</v>
      </c>
      <c r="M35" s="17">
        <v>3184.03</v>
      </c>
      <c r="N35" s="17">
        <f>VLOOKUP(A35,'Balancete Contab. 12 2020'!A:F,6,0)</f>
        <v>3184.23</v>
      </c>
      <c r="O35" s="46">
        <f t="shared" si="1"/>
        <v>38209.65</v>
      </c>
    </row>
    <row r="36" spans="1:15" x14ac:dyDescent="0.2">
      <c r="A36" s="20">
        <v>124330</v>
      </c>
      <c r="B36" s="20" t="s">
        <v>704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f>VLOOKUP(A36,'Balancete Contab. 12 2020'!A:F,6,0)</f>
        <v>0</v>
      </c>
      <c r="O36" s="46">
        <f t="shared" si="1"/>
        <v>0</v>
      </c>
    </row>
    <row r="37" spans="1:15" x14ac:dyDescent="0.2">
      <c r="A37" s="20"/>
      <c r="B37" s="20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46"/>
    </row>
    <row r="38" spans="1:15" x14ac:dyDescent="0.2">
      <c r="A38" s="20">
        <v>124810</v>
      </c>
      <c r="B38" s="20" t="s">
        <v>764</v>
      </c>
      <c r="C38" s="16">
        <v>488504.52</v>
      </c>
      <c r="D38" s="16">
        <v>488504.45</v>
      </c>
      <c r="E38" s="16">
        <v>488504.49</v>
      </c>
      <c r="F38" s="16">
        <v>488504.52</v>
      </c>
      <c r="G38" s="16">
        <v>488504.5</v>
      </c>
      <c r="H38" s="16">
        <v>488504.49</v>
      </c>
      <c r="I38" s="16">
        <v>488504.49</v>
      </c>
      <c r="J38" s="16">
        <v>481122.95</v>
      </c>
      <c r="K38" s="16">
        <v>481122.97</v>
      </c>
      <c r="L38" s="16">
        <v>481122.98</v>
      </c>
      <c r="M38" s="16">
        <v>469511.51</v>
      </c>
      <c r="N38" s="16">
        <f>VLOOKUP(A38,'Balancete Contab. 12 2020'!A:F,6,0)</f>
        <v>469511.55</v>
      </c>
      <c r="O38" s="46">
        <f t="shared" si="1"/>
        <v>5801923.419999999</v>
      </c>
    </row>
    <row r="39" spans="1:15" x14ac:dyDescent="0.2">
      <c r="A39" s="20">
        <v>124820</v>
      </c>
      <c r="B39" s="20" t="s">
        <v>786</v>
      </c>
      <c r="C39" s="17">
        <v>5275.57</v>
      </c>
      <c r="D39" s="17">
        <v>5275.5</v>
      </c>
      <c r="E39" s="17">
        <v>5275.54</v>
      </c>
      <c r="F39" s="17">
        <v>5275.57</v>
      </c>
      <c r="G39" s="17">
        <v>5275.53</v>
      </c>
      <c r="H39" s="17">
        <v>5275.54</v>
      </c>
      <c r="I39" s="17">
        <v>5275.54</v>
      </c>
      <c r="J39" s="17">
        <v>5275.53</v>
      </c>
      <c r="K39" s="17">
        <v>5275.55</v>
      </c>
      <c r="L39" s="17">
        <v>5275.56</v>
      </c>
      <c r="M39" s="17">
        <v>5275.5</v>
      </c>
      <c r="N39" s="17">
        <f>VLOOKUP(A39,'Balancete Contab. 12 2020'!A:F,6,0)</f>
        <v>5275.54</v>
      </c>
      <c r="O39" s="46">
        <f t="shared" si="1"/>
        <v>63306.47</v>
      </c>
    </row>
    <row r="40" spans="1:15" x14ac:dyDescent="0.2">
      <c r="A40" s="20">
        <v>124890</v>
      </c>
      <c r="B40" s="20" t="s">
        <v>785</v>
      </c>
      <c r="C40" s="17">
        <v>483228.95</v>
      </c>
      <c r="D40" s="17">
        <v>483228.95</v>
      </c>
      <c r="E40" s="17">
        <v>483228.95</v>
      </c>
      <c r="F40" s="17">
        <v>483228.95</v>
      </c>
      <c r="G40" s="17">
        <v>483228.97</v>
      </c>
      <c r="H40" s="17">
        <v>483228.95</v>
      </c>
      <c r="I40" s="17">
        <v>483228.95</v>
      </c>
      <c r="J40" s="17">
        <v>475847.42</v>
      </c>
      <c r="K40" s="17">
        <v>475847.42</v>
      </c>
      <c r="L40" s="17">
        <v>475847.42</v>
      </c>
      <c r="M40" s="17">
        <v>464236.01</v>
      </c>
      <c r="N40" s="17">
        <f>VLOOKUP(A40,'Balancete Contab. 12 2020'!A:F,6,0)</f>
        <v>464236.01</v>
      </c>
      <c r="O40" s="46">
        <f t="shared" si="1"/>
        <v>5738616.9500000002</v>
      </c>
    </row>
    <row r="41" spans="1:15" x14ac:dyDescent="0.2">
      <c r="A41" s="20"/>
      <c r="B41" s="20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46"/>
    </row>
    <row r="42" spans="1:15" x14ac:dyDescent="0.2">
      <c r="A42" s="20">
        <v>135000</v>
      </c>
      <c r="B42" s="20" t="s">
        <v>723</v>
      </c>
      <c r="C42" s="46">
        <v>936.74999999999773</v>
      </c>
      <c r="D42" s="16">
        <f t="shared" ref="D42:H42" si="2">SUM(D43:D53)</f>
        <v>1554.9199999999992</v>
      </c>
      <c r="E42" s="16">
        <f t="shared" si="2"/>
        <v>-139.9099999999994</v>
      </c>
      <c r="F42" s="16">
        <f t="shared" si="2"/>
        <v>-1762.9500000000025</v>
      </c>
      <c r="G42" s="16">
        <f t="shared" si="2"/>
        <v>-2695.0200000000023</v>
      </c>
      <c r="H42" s="16">
        <f t="shared" si="2"/>
        <v>-4147.67</v>
      </c>
      <c r="I42" s="16">
        <v>-5181.88</v>
      </c>
      <c r="J42" s="16">
        <v>-5990.0201999999981</v>
      </c>
      <c r="K42" s="16">
        <v>-6790.82</v>
      </c>
      <c r="L42" s="16">
        <v>-5946.7900000000027</v>
      </c>
      <c r="M42" s="16">
        <v>-4873.0099999999993</v>
      </c>
      <c r="N42" s="16">
        <f>SUM(N43:N53)</f>
        <v>-6430.17</v>
      </c>
      <c r="O42" s="46">
        <f t="shared" ref="O42" si="3">SUM(O43:O53)</f>
        <v>-41466.57019999998</v>
      </c>
    </row>
    <row r="43" spans="1:15" x14ac:dyDescent="0.2">
      <c r="A43" s="20">
        <v>135005</v>
      </c>
      <c r="B43" s="20" t="s">
        <v>685</v>
      </c>
      <c r="C43" s="17">
        <v>-26825.040000000001</v>
      </c>
      <c r="D43" s="17">
        <v>-26797.77</v>
      </c>
      <c r="E43" s="17">
        <v>-26797.62</v>
      </c>
      <c r="F43" s="17">
        <v>-26739.040000000001</v>
      </c>
      <c r="G43" s="17">
        <v>-26738.71</v>
      </c>
      <c r="H43" s="17">
        <v>-26708.1</v>
      </c>
      <c r="I43" s="17">
        <v>-26677.58</v>
      </c>
      <c r="J43" s="17">
        <v>-26677.279999999999</v>
      </c>
      <c r="K43" s="17">
        <v>-26672.959999999999</v>
      </c>
      <c r="L43" s="17">
        <v>-26673.11</v>
      </c>
      <c r="M43" s="17">
        <v>-26557.59</v>
      </c>
      <c r="N43" s="17">
        <f>VLOOKUP(A43,'Ativo CPC 27   12 20'!A:H,8,0)</f>
        <v>-26411.56</v>
      </c>
      <c r="O43" s="46">
        <f t="shared" ref="O43:O49" si="4">SUM(C43:N43)</f>
        <v>-320276.36</v>
      </c>
    </row>
    <row r="44" spans="1:15" x14ac:dyDescent="0.2">
      <c r="A44" s="20">
        <v>135010</v>
      </c>
      <c r="B44" s="20" t="s">
        <v>686</v>
      </c>
      <c r="C44" s="17">
        <v>0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f>VLOOKUP(A44,'Ativo CPC 27   12 20'!A:H,8,0)</f>
        <v>0</v>
      </c>
      <c r="O44" s="46">
        <f t="shared" si="4"/>
        <v>0</v>
      </c>
    </row>
    <row r="45" spans="1:15" x14ac:dyDescent="0.2">
      <c r="A45" s="20">
        <v>135015</v>
      </c>
      <c r="B45" s="20" t="s">
        <v>689</v>
      </c>
      <c r="C45" s="17">
        <v>3711.05</v>
      </c>
      <c r="D45" s="17">
        <v>4373.04</v>
      </c>
      <c r="E45" s="17">
        <v>4119.13</v>
      </c>
      <c r="F45" s="17">
        <v>3528.3</v>
      </c>
      <c r="G45" s="17">
        <v>3371.21</v>
      </c>
      <c r="H45" s="17">
        <v>3190.48</v>
      </c>
      <c r="I45" s="17">
        <v>2985.25</v>
      </c>
      <c r="J45" s="17">
        <v>3091.82</v>
      </c>
      <c r="K45" s="17">
        <v>3456.3</v>
      </c>
      <c r="L45" s="17">
        <v>2909.19</v>
      </c>
      <c r="M45" s="17">
        <v>2716.45</v>
      </c>
      <c r="N45" s="17">
        <f>VLOOKUP(A45,'Ativo CPC 27   12 20'!A:H,8,0)</f>
        <v>2532.29</v>
      </c>
      <c r="O45" s="46">
        <f t="shared" si="4"/>
        <v>39984.509999999995</v>
      </c>
    </row>
    <row r="46" spans="1:15" x14ac:dyDescent="0.2">
      <c r="A46" s="20">
        <v>135020</v>
      </c>
      <c r="B46" s="20" t="s">
        <v>692</v>
      </c>
      <c r="C46" s="17">
        <v>12222.08</v>
      </c>
      <c r="D46" s="17">
        <v>11404.63</v>
      </c>
      <c r="E46" s="17">
        <v>11493.4</v>
      </c>
      <c r="F46" s="17">
        <v>11359.98</v>
      </c>
      <c r="G46" s="17">
        <v>11416.3</v>
      </c>
      <c r="H46" s="17">
        <v>10952.84</v>
      </c>
      <c r="I46" s="17">
        <v>10982.62</v>
      </c>
      <c r="J46" s="17">
        <v>10915.03</v>
      </c>
      <c r="K46" s="17">
        <v>10494.63</v>
      </c>
      <c r="L46" s="17">
        <v>10190.129999999999</v>
      </c>
      <c r="M46" s="17">
        <v>10117.26</v>
      </c>
      <c r="N46" s="17">
        <f>VLOOKUP(A46,'Ativo CPC 27   12 20'!A:H,8,0)</f>
        <v>9826.02</v>
      </c>
      <c r="O46" s="46">
        <f t="shared" si="4"/>
        <v>131374.91999999998</v>
      </c>
    </row>
    <row r="47" spans="1:15" x14ac:dyDescent="0.2">
      <c r="A47" s="20">
        <v>135025</v>
      </c>
      <c r="B47" s="20" t="s">
        <v>705</v>
      </c>
      <c r="C47" s="17">
        <v>17743.71</v>
      </c>
      <c r="D47" s="17">
        <v>18528.64</v>
      </c>
      <c r="E47" s="17">
        <v>17318.53</v>
      </c>
      <c r="F47" s="17">
        <v>16680.98</v>
      </c>
      <c r="G47" s="17">
        <v>16169.46</v>
      </c>
      <c r="H47" s="17">
        <v>15649.63</v>
      </c>
      <c r="I47" s="17">
        <v>15080.45</v>
      </c>
      <c r="J47" s="17">
        <v>14552.73</v>
      </c>
      <c r="K47" s="17">
        <v>14123.6</v>
      </c>
      <c r="L47" s="17">
        <v>16137.39</v>
      </c>
      <c r="M47" s="17">
        <v>17682.41</v>
      </c>
      <c r="N47" s="17">
        <f>VLOOKUP(A47,'Ativo CPC 27   12 20'!A:H,8,0)</f>
        <v>16774.82</v>
      </c>
      <c r="O47" s="46">
        <f t="shared" si="4"/>
        <v>196442.35</v>
      </c>
    </row>
    <row r="48" spans="1:15" x14ac:dyDescent="0.2">
      <c r="A48" s="20">
        <v>135030</v>
      </c>
      <c r="B48" s="20" t="s">
        <v>699</v>
      </c>
      <c r="C48" s="17">
        <v>0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f>VLOOKUP(A48,'Ativo CPC 27   12 20'!A:H,8,0)</f>
        <v>0</v>
      </c>
      <c r="O48" s="46">
        <f t="shared" si="4"/>
        <v>0</v>
      </c>
    </row>
    <row r="49" spans="1:15" x14ac:dyDescent="0.2">
      <c r="A49" s="20">
        <v>135035</v>
      </c>
      <c r="B49" s="20" t="s">
        <v>706</v>
      </c>
      <c r="C49" s="17">
        <v>0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09" t="s">
        <v>946</v>
      </c>
      <c r="L49" s="17">
        <v>0</v>
      </c>
      <c r="M49" s="17">
        <v>0</v>
      </c>
      <c r="N49" s="17">
        <v>0</v>
      </c>
      <c r="O49" s="46">
        <f t="shared" si="4"/>
        <v>0</v>
      </c>
    </row>
    <row r="50" spans="1:15" x14ac:dyDescent="0.2">
      <c r="A50" s="20">
        <v>135040</v>
      </c>
      <c r="B50" s="20" t="s">
        <v>707</v>
      </c>
      <c r="C50" s="17">
        <v>-1559.11</v>
      </c>
      <c r="D50" s="17">
        <v>-1494.59</v>
      </c>
      <c r="E50" s="17">
        <v>-1580.54</v>
      </c>
      <c r="F50" s="17">
        <v>-1666.49</v>
      </c>
      <c r="G50" s="17">
        <v>-1752.67</v>
      </c>
      <c r="H50" s="17">
        <v>-1838.3</v>
      </c>
      <c r="I50" s="17">
        <v>-1924.49</v>
      </c>
      <c r="J50" s="17">
        <v>-2010.3780833333342</v>
      </c>
      <c r="K50" s="17">
        <v>-2096.54</v>
      </c>
      <c r="L50" s="17">
        <v>-2182.37</v>
      </c>
      <c r="M50" s="17">
        <v>-2268.2800000000002</v>
      </c>
      <c r="N50" s="17">
        <f>VLOOKUP(A50,'Ativo CPC 27   12 20'!A:H,8,0)</f>
        <v>-2354.41</v>
      </c>
      <c r="O50" s="46">
        <f>SUM(C50:N50)</f>
        <v>-22728.16808333333</v>
      </c>
    </row>
    <row r="51" spans="1:15" x14ac:dyDescent="0.2">
      <c r="A51" s="20">
        <v>135045</v>
      </c>
      <c r="B51" s="20" t="s">
        <v>708</v>
      </c>
      <c r="C51" s="17">
        <v>-3074.69</v>
      </c>
      <c r="D51" s="17">
        <v>-3193.91</v>
      </c>
      <c r="E51" s="17">
        <v>-3357.33</v>
      </c>
      <c r="F51" s="17">
        <v>-3520.8</v>
      </c>
      <c r="G51" s="17">
        <v>-3684.34</v>
      </c>
      <c r="H51" s="17">
        <v>-3847.67</v>
      </c>
      <c r="I51" s="17">
        <v>-4011.17</v>
      </c>
      <c r="J51" s="17">
        <v>-4174.5722749999986</v>
      </c>
      <c r="K51" s="17">
        <v>-4338.08</v>
      </c>
      <c r="L51" s="17">
        <v>-4501.57</v>
      </c>
      <c r="M51" s="17">
        <v>-4664.92</v>
      </c>
      <c r="N51" s="17">
        <f>VLOOKUP(A51,'Ativo CPC 27   12 20'!A:H,8,0)</f>
        <v>-4828.3999999999996</v>
      </c>
      <c r="O51" s="46">
        <f>SUM(C51:N51)</f>
        <v>-47197.452274999996</v>
      </c>
    </row>
    <row r="52" spans="1:15" x14ac:dyDescent="0.2">
      <c r="A52" s="20">
        <v>135050</v>
      </c>
      <c r="B52" s="20" t="s">
        <v>701</v>
      </c>
      <c r="C52" s="17">
        <v>-307.55</v>
      </c>
      <c r="D52" s="17">
        <v>-323.23</v>
      </c>
      <c r="E52" s="17">
        <v>-340.54</v>
      </c>
      <c r="F52" s="17">
        <v>-357.86</v>
      </c>
      <c r="G52" s="17">
        <v>-375.11</v>
      </c>
      <c r="H52" s="17">
        <v>-392.44</v>
      </c>
      <c r="I52" s="17">
        <v>-409.78</v>
      </c>
      <c r="J52" s="17">
        <v>-427.05579166666661</v>
      </c>
      <c r="K52" s="17">
        <v>-444.36</v>
      </c>
      <c r="L52" s="17">
        <v>-460.03</v>
      </c>
      <c r="M52" s="17">
        <v>-478.95</v>
      </c>
      <c r="N52" s="17">
        <f>VLOOKUP(A52,'Ativo CPC 27   12 20'!A:H,8,0)</f>
        <v>-496.27</v>
      </c>
      <c r="O52" s="46">
        <f>SUM(C52:N52)</f>
        <v>-4813.1757916666666</v>
      </c>
    </row>
    <row r="53" spans="1:15" x14ac:dyDescent="0.2">
      <c r="A53" s="20">
        <v>135055</v>
      </c>
      <c r="B53" s="20" t="s">
        <v>703</v>
      </c>
      <c r="C53" s="17">
        <v>-973.7</v>
      </c>
      <c r="D53" s="17">
        <v>-941.89</v>
      </c>
      <c r="E53" s="17">
        <v>-994.94</v>
      </c>
      <c r="F53" s="17">
        <v>-1048.02</v>
      </c>
      <c r="G53" s="17">
        <v>-1101.1600000000001</v>
      </c>
      <c r="H53" s="17">
        <v>-1154.1099999999999</v>
      </c>
      <c r="I53" s="17">
        <v>-1207.18</v>
      </c>
      <c r="J53" s="17">
        <v>-1260.31405</v>
      </c>
      <c r="K53" s="17">
        <v>-1313.41</v>
      </c>
      <c r="L53" s="17">
        <v>-1366.42</v>
      </c>
      <c r="M53" s="17">
        <v>-1419.39</v>
      </c>
      <c r="N53" s="17">
        <f>VLOOKUP(A53,'Ativo CPC 27   12 20'!A:H,8,0)</f>
        <v>-1472.66</v>
      </c>
      <c r="O53" s="46">
        <f>SUM(C53:N53)</f>
        <v>-14253.19405</v>
      </c>
    </row>
    <row r="54" spans="1:15" x14ac:dyDescent="0.2">
      <c r="A54" s="20"/>
      <c r="B54" s="20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46">
        <f>SUM(C54:N54)</f>
        <v>0</v>
      </c>
    </row>
    <row r="55" spans="1:15" x14ac:dyDescent="0.2">
      <c r="A55" s="20">
        <v>140000</v>
      </c>
      <c r="B55" s="20" t="s">
        <v>726</v>
      </c>
      <c r="C55" s="17">
        <v>0</v>
      </c>
      <c r="D55" s="17">
        <v>0</v>
      </c>
      <c r="E55" s="17">
        <v>0</v>
      </c>
      <c r="F55" s="17">
        <v>0</v>
      </c>
      <c r="G55" s="17">
        <v>0</v>
      </c>
      <c r="H55" s="17">
        <v>0</v>
      </c>
      <c r="I55" s="17">
        <v>0</v>
      </c>
      <c r="J55" s="17">
        <v>0</v>
      </c>
      <c r="K55" s="17">
        <v>0</v>
      </c>
      <c r="L55" s="17">
        <v>0</v>
      </c>
      <c r="M55" s="17">
        <v>0</v>
      </c>
      <c r="N55" s="17">
        <v>0</v>
      </c>
      <c r="O55" s="46">
        <f t="shared" ref="O55" si="5">O56</f>
        <v>0</v>
      </c>
    </row>
    <row r="56" spans="1:15" x14ac:dyDescent="0.2">
      <c r="A56" s="20">
        <v>140005</v>
      </c>
      <c r="B56" s="20" t="s">
        <v>685</v>
      </c>
      <c r="C56" s="17">
        <v>0</v>
      </c>
      <c r="D56" s="17">
        <v>0</v>
      </c>
      <c r="E56" s="17">
        <v>0</v>
      </c>
      <c r="F56" s="17">
        <v>0</v>
      </c>
      <c r="G56" s="17">
        <v>0</v>
      </c>
      <c r="H56" s="17">
        <v>0</v>
      </c>
      <c r="I56" s="17">
        <v>0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46">
        <f>SUM(C56:N56)</f>
        <v>0</v>
      </c>
    </row>
    <row r="57" spans="1:15" x14ac:dyDescent="0.2">
      <c r="A57" s="20"/>
      <c r="B57" s="20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46"/>
    </row>
    <row r="58" spans="1:15" x14ac:dyDescent="0.2">
      <c r="A58" s="20">
        <v>139500</v>
      </c>
      <c r="B58" s="20" t="s">
        <v>725</v>
      </c>
      <c r="C58" s="17"/>
      <c r="D58" s="17">
        <v>0</v>
      </c>
      <c r="E58" s="17">
        <v>0</v>
      </c>
      <c r="F58" s="17">
        <v>0</v>
      </c>
      <c r="G58" s="17">
        <v>0</v>
      </c>
      <c r="H58" s="17">
        <v>0</v>
      </c>
      <c r="I58" s="17">
        <v>0</v>
      </c>
      <c r="J58" s="17">
        <v>0</v>
      </c>
      <c r="K58" s="17">
        <v>0</v>
      </c>
      <c r="L58" s="17">
        <v>0</v>
      </c>
      <c r="M58" s="17">
        <v>0</v>
      </c>
      <c r="N58" s="17">
        <v>0</v>
      </c>
      <c r="O58" s="46">
        <f>SUM(C58:N58)</f>
        <v>0</v>
      </c>
    </row>
    <row r="59" spans="1:15" x14ac:dyDescent="0.2">
      <c r="A59" s="20">
        <v>139510</v>
      </c>
      <c r="B59" s="20" t="s">
        <v>709</v>
      </c>
      <c r="C59" s="17">
        <v>0</v>
      </c>
      <c r="D59" s="17">
        <v>0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46">
        <f>SUM(C59:N59)</f>
        <v>0</v>
      </c>
    </row>
    <row r="60" spans="1:15" x14ac:dyDescent="0.2">
      <c r="A60" s="20">
        <v>139520</v>
      </c>
      <c r="B60" s="20" t="s">
        <v>710</v>
      </c>
      <c r="C60" s="17"/>
      <c r="D60" s="17">
        <v>0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46">
        <f>SUM(C60:N60)</f>
        <v>0</v>
      </c>
    </row>
    <row r="61" spans="1:15" x14ac:dyDescent="0.2">
      <c r="A61" s="20">
        <v>139530</v>
      </c>
      <c r="B61" s="20" t="s">
        <v>689</v>
      </c>
      <c r="C61" s="17"/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46">
        <f>SUM(C61:N61)</f>
        <v>0</v>
      </c>
    </row>
    <row r="62" spans="1:15" x14ac:dyDescent="0.2">
      <c r="A62" s="20">
        <v>139550</v>
      </c>
      <c r="B62" s="20" t="s">
        <v>696</v>
      </c>
      <c r="C62" s="17"/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46">
        <f>SUM(C62:N62)</f>
        <v>0</v>
      </c>
    </row>
    <row r="63" spans="1:15" x14ac:dyDescent="0.2">
      <c r="A63" s="27"/>
      <c r="B63" s="27"/>
      <c r="C63" s="28"/>
      <c r="D63" s="17"/>
      <c r="E63" s="28"/>
      <c r="F63" s="17"/>
      <c r="G63" s="17"/>
      <c r="H63" s="17"/>
      <c r="I63" s="28"/>
      <c r="J63" s="28"/>
      <c r="K63" s="28"/>
      <c r="L63" s="28"/>
      <c r="M63" s="28"/>
      <c r="N63" s="28"/>
      <c r="O63" s="28"/>
    </row>
    <row r="64" spans="1:15" x14ac:dyDescent="0.2">
      <c r="A64" s="20">
        <v>146300</v>
      </c>
      <c r="B64" s="20" t="s">
        <v>727</v>
      </c>
      <c r="C64" s="46">
        <f t="shared" ref="C64:H64" si="6">SUM(C65:C67)</f>
        <v>2179.3399999999997</v>
      </c>
      <c r="D64" s="46">
        <f t="shared" si="6"/>
        <v>2218.4399999999996</v>
      </c>
      <c r="E64" s="46">
        <f t="shared" si="6"/>
        <v>2218.41</v>
      </c>
      <c r="F64" s="46">
        <f t="shared" si="6"/>
        <v>2191.5299999999997</v>
      </c>
      <c r="G64" s="46">
        <f t="shared" si="6"/>
        <v>2098.0500000000002</v>
      </c>
      <c r="H64" s="46">
        <f t="shared" si="6"/>
        <v>2098.0199999999995</v>
      </c>
      <c r="I64" s="46">
        <v>2098.0600000000004</v>
      </c>
      <c r="J64" s="46">
        <v>2097.5</v>
      </c>
      <c r="K64" s="16">
        <v>2080.34</v>
      </c>
      <c r="L64" s="46">
        <v>2080.39</v>
      </c>
      <c r="M64" s="46">
        <v>1247.04</v>
      </c>
      <c r="N64" s="16">
        <f>SUM(N65:N67)</f>
        <v>1265.96</v>
      </c>
      <c r="O64" s="46">
        <f>SUM(C64:N64)</f>
        <v>23873.079999999998</v>
      </c>
    </row>
    <row r="65" spans="1:15" x14ac:dyDescent="0.2">
      <c r="A65" s="20">
        <v>146310</v>
      </c>
      <c r="B65" s="20" t="s">
        <v>711</v>
      </c>
      <c r="C65" s="17">
        <v>1842.46</v>
      </c>
      <c r="D65" s="17">
        <v>1869.18</v>
      </c>
      <c r="E65" s="17">
        <v>1869.15</v>
      </c>
      <c r="F65" s="17">
        <v>1856.86</v>
      </c>
      <c r="G65" s="17">
        <v>1763.4</v>
      </c>
      <c r="H65" s="17">
        <v>1763.37</v>
      </c>
      <c r="I65" s="17">
        <v>1763.41</v>
      </c>
      <c r="J65" s="17">
        <v>1762.84</v>
      </c>
      <c r="K65" s="17">
        <v>1745.69</v>
      </c>
      <c r="L65" s="17">
        <v>1745.74</v>
      </c>
      <c r="M65" s="17">
        <v>912.39</v>
      </c>
      <c r="N65" s="17">
        <f>VLOOKUP(A65,'Balancete Contab. 12 2020'!A:F,6,0)</f>
        <v>931.3</v>
      </c>
      <c r="O65" s="28">
        <f>SUM(C65:N65)</f>
        <v>19825.79</v>
      </c>
    </row>
    <row r="66" spans="1:15" x14ac:dyDescent="0.2">
      <c r="A66" s="20">
        <v>146315</v>
      </c>
      <c r="B66" s="20" t="s">
        <v>712</v>
      </c>
      <c r="C66" s="17">
        <v>2312.19</v>
      </c>
      <c r="D66" s="17">
        <v>2312.19</v>
      </c>
      <c r="E66" s="17">
        <v>2312.1799999999998</v>
      </c>
      <c r="F66" s="17">
        <v>2312.2199999999998</v>
      </c>
      <c r="G66" s="17">
        <v>2312.17</v>
      </c>
      <c r="H66" s="17">
        <v>2312.1799999999998</v>
      </c>
      <c r="I66" s="17">
        <v>2312.1799999999998</v>
      </c>
      <c r="J66" s="17">
        <v>2312.21</v>
      </c>
      <c r="K66" s="17">
        <v>2312.19</v>
      </c>
      <c r="L66" s="17">
        <v>2312.17</v>
      </c>
      <c r="M66" s="17">
        <v>2312.19</v>
      </c>
      <c r="N66" s="17">
        <f>VLOOKUP(A66,'Balancete Contab. 12 2020'!A:F,6,0)</f>
        <v>2312.1999999999998</v>
      </c>
      <c r="O66" s="28">
        <f>SUM(C66:N66)</f>
        <v>27746.269999999997</v>
      </c>
    </row>
    <row r="67" spans="1:15" x14ac:dyDescent="0.2">
      <c r="A67" s="20">
        <v>146320</v>
      </c>
      <c r="B67" s="20" t="s">
        <v>713</v>
      </c>
      <c r="C67" s="17">
        <v>-1975.31</v>
      </c>
      <c r="D67" s="17">
        <v>-1962.93</v>
      </c>
      <c r="E67" s="17">
        <v>-1962.92</v>
      </c>
      <c r="F67" s="17">
        <v>-1977.55</v>
      </c>
      <c r="G67" s="17">
        <v>-1977.52</v>
      </c>
      <c r="H67" s="17">
        <v>-1977.53</v>
      </c>
      <c r="I67" s="17">
        <v>-1977.53</v>
      </c>
      <c r="J67" s="17">
        <v>-1977.55</v>
      </c>
      <c r="K67" s="17">
        <v>-1977.54</v>
      </c>
      <c r="L67" s="17">
        <v>-1977.52</v>
      </c>
      <c r="M67" s="17">
        <v>-1977.54</v>
      </c>
      <c r="N67" s="17">
        <f>-VLOOKUP(A67,'Balancete Contab. 12 2020'!A:F,5,0)</f>
        <v>-1977.54</v>
      </c>
      <c r="O67" s="28">
        <f>SUM(C67:N67)</f>
        <v>-23698.980000000003</v>
      </c>
    </row>
    <row r="68" spans="1:15" ht="13.5" thickBot="1" x14ac:dyDescent="0.25">
      <c r="A68" s="31"/>
      <c r="B68" s="31"/>
      <c r="C68" s="32"/>
      <c r="D68" s="32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</row>
    <row r="69" spans="1:15" ht="13.5" thickTop="1" x14ac:dyDescent="0.2"/>
  </sheetData>
  <autoFilter ref="A4:O68" xr:uid="{0AD1C742-07C7-423C-AA23-5044C05D4729}"/>
  <phoneticPr fontId="9" type="noConversion"/>
  <pageMargins left="0" right="0" top="0" bottom="0" header="0.51181102362204722" footer="0.51181102362204722"/>
  <pageSetup paperSize="9" scale="64" orientation="landscape" verticalDpi="1200" r:id="rId1"/>
  <headerFooter alignWithMargins="0">
    <oddFooter>&amp;L&amp;Z&amp;F &amp;T &amp;D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BBC6F-C6CC-4B9A-8E2E-9D8C277DB34F}">
  <sheetPr filterMode="1">
    <tabColor rgb="FFFFFF00"/>
  </sheetPr>
  <dimension ref="A1:G1221"/>
  <sheetViews>
    <sheetView showGridLines="0" zoomScale="80" zoomScaleNormal="80" workbookViewId="0">
      <pane ySplit="4" topLeftCell="A287" activePane="bottomLeft" state="frozen"/>
      <selection activeCell="L43" sqref="L43"/>
      <selection pane="bottomLeft" activeCell="H204" sqref="H204"/>
    </sheetView>
  </sheetViews>
  <sheetFormatPr defaultRowHeight="12.75" x14ac:dyDescent="0.2"/>
  <cols>
    <col min="1" max="1" width="11.5703125" bestFit="1" customWidth="1"/>
    <col min="2" max="2" width="52.140625" bestFit="1" customWidth="1"/>
    <col min="3" max="3" width="7.28515625" bestFit="1" customWidth="1"/>
    <col min="4" max="4" width="24.28515625" style="1" bestFit="1" customWidth="1"/>
    <col min="5" max="5" width="17.42578125" style="1" bestFit="1" customWidth="1"/>
    <col min="6" max="6" width="19.85546875" style="1" bestFit="1" customWidth="1"/>
    <col min="7" max="7" width="23.140625" style="1" bestFit="1" customWidth="1"/>
    <col min="8" max="8" width="12.28515625" style="3" bestFit="1" customWidth="1"/>
    <col min="9" max="16384" width="9.140625" style="3"/>
  </cols>
  <sheetData>
    <row r="1" spans="1:7" x14ac:dyDescent="0.2">
      <c r="A1" t="s">
        <v>967</v>
      </c>
      <c r="B1" t="s">
        <v>968</v>
      </c>
      <c r="G1" s="1" t="s">
        <v>66</v>
      </c>
    </row>
    <row r="2" spans="1:7" x14ac:dyDescent="0.2">
      <c r="A2" t="s">
        <v>969</v>
      </c>
      <c r="B2" t="s">
        <v>970</v>
      </c>
      <c r="G2" s="1" t="s">
        <v>67</v>
      </c>
    </row>
    <row r="3" spans="1:7" x14ac:dyDescent="0.2">
      <c r="A3" t="s">
        <v>68</v>
      </c>
      <c r="D3" s="1" t="s">
        <v>1240</v>
      </c>
      <c r="G3" s="1" t="s">
        <v>69</v>
      </c>
    </row>
    <row r="4" spans="1:7" x14ac:dyDescent="0.2">
      <c r="A4" t="s">
        <v>805</v>
      </c>
      <c r="B4" t="s">
        <v>70</v>
      </c>
      <c r="C4" t="s">
        <v>71</v>
      </c>
      <c r="D4" s="1" t="s">
        <v>72</v>
      </c>
      <c r="E4" s="1" t="s">
        <v>73</v>
      </c>
      <c r="F4" s="1" t="s">
        <v>74</v>
      </c>
      <c r="G4" s="1" t="s">
        <v>75</v>
      </c>
    </row>
    <row r="5" spans="1:7" hidden="1" x14ac:dyDescent="0.2">
      <c r="A5">
        <v>1000</v>
      </c>
      <c r="B5" t="s">
        <v>76</v>
      </c>
      <c r="C5">
        <v>1</v>
      </c>
      <c r="D5" s="1">
        <v>55259949.670000002</v>
      </c>
      <c r="E5" s="1">
        <v>21439905.710000001</v>
      </c>
      <c r="F5" s="1">
        <v>23986102.02</v>
      </c>
      <c r="G5" s="1">
        <v>52713753.359999999</v>
      </c>
    </row>
    <row r="6" spans="1:7" hidden="1" x14ac:dyDescent="0.2">
      <c r="A6">
        <v>2000</v>
      </c>
      <c r="B6" t="s">
        <v>77</v>
      </c>
      <c r="C6">
        <v>2</v>
      </c>
      <c r="D6" s="1">
        <v>17687370.940000001</v>
      </c>
      <c r="E6" s="1">
        <v>20711274.82</v>
      </c>
      <c r="F6" s="1">
        <v>22497172.879999999</v>
      </c>
      <c r="G6" s="1">
        <v>15901472.880000001</v>
      </c>
    </row>
    <row r="7" spans="1:7" hidden="1" x14ac:dyDescent="0.2">
      <c r="A7">
        <v>3000</v>
      </c>
      <c r="B7" t="s">
        <v>78</v>
      </c>
      <c r="C7">
        <v>3</v>
      </c>
      <c r="D7" s="1">
        <v>9302985.0999999996</v>
      </c>
      <c r="E7" s="1">
        <v>13958532.109999999</v>
      </c>
      <c r="F7" s="1">
        <v>15684880.59</v>
      </c>
      <c r="G7" s="1">
        <v>7576636.6200000001</v>
      </c>
    </row>
    <row r="8" spans="1:7" hidden="1" x14ac:dyDescent="0.2">
      <c r="A8">
        <v>4000</v>
      </c>
      <c r="B8" t="s">
        <v>79</v>
      </c>
      <c r="C8">
        <v>4</v>
      </c>
      <c r="D8" s="1">
        <v>19700</v>
      </c>
      <c r="E8" s="1">
        <v>0</v>
      </c>
      <c r="F8" s="1">
        <v>0</v>
      </c>
      <c r="G8" s="1">
        <v>19700</v>
      </c>
    </row>
    <row r="9" spans="1:7" hidden="1" x14ac:dyDescent="0.2">
      <c r="A9">
        <v>4005</v>
      </c>
      <c r="B9" t="s">
        <v>80</v>
      </c>
      <c r="C9">
        <v>5</v>
      </c>
      <c r="D9" s="1">
        <v>8500</v>
      </c>
      <c r="E9" s="1">
        <v>0</v>
      </c>
      <c r="F9" s="1">
        <v>0</v>
      </c>
      <c r="G9" s="1">
        <v>8500</v>
      </c>
    </row>
    <row r="10" spans="1:7" hidden="1" x14ac:dyDescent="0.2">
      <c r="A10">
        <v>4020</v>
      </c>
      <c r="B10" t="s">
        <v>81</v>
      </c>
      <c r="C10">
        <v>5</v>
      </c>
      <c r="D10" s="1">
        <v>4500</v>
      </c>
      <c r="E10" s="1">
        <v>0</v>
      </c>
      <c r="F10" s="1">
        <v>0</v>
      </c>
      <c r="G10" s="1">
        <v>4500</v>
      </c>
    </row>
    <row r="11" spans="1:7" hidden="1" x14ac:dyDescent="0.2">
      <c r="A11">
        <v>4030</v>
      </c>
      <c r="B11" t="s">
        <v>82</v>
      </c>
      <c r="C11">
        <v>5</v>
      </c>
      <c r="D11" s="1">
        <v>5000</v>
      </c>
      <c r="E11" s="1">
        <v>0</v>
      </c>
      <c r="F11" s="1">
        <v>0</v>
      </c>
      <c r="G11" s="1">
        <v>5000</v>
      </c>
    </row>
    <row r="12" spans="1:7" hidden="1" x14ac:dyDescent="0.2">
      <c r="A12">
        <v>4035</v>
      </c>
      <c r="B12" t="s">
        <v>83</v>
      </c>
      <c r="C12">
        <v>5</v>
      </c>
      <c r="D12" s="1">
        <v>1500</v>
      </c>
      <c r="E12" s="1">
        <v>0</v>
      </c>
      <c r="F12" s="1">
        <v>0</v>
      </c>
      <c r="G12" s="1">
        <v>1500</v>
      </c>
    </row>
    <row r="13" spans="1:7" hidden="1" x14ac:dyDescent="0.2">
      <c r="A13">
        <v>4041</v>
      </c>
      <c r="B13" t="s">
        <v>84</v>
      </c>
      <c r="C13">
        <v>5</v>
      </c>
      <c r="D13" s="1">
        <v>200</v>
      </c>
      <c r="E13" s="1">
        <v>0</v>
      </c>
      <c r="F13" s="1">
        <v>0</v>
      </c>
      <c r="G13" s="1">
        <v>200</v>
      </c>
    </row>
    <row r="14" spans="1:7" hidden="1" x14ac:dyDescent="0.2">
      <c r="A14">
        <v>5040</v>
      </c>
      <c r="B14" t="s">
        <v>85</v>
      </c>
      <c r="C14">
        <v>4</v>
      </c>
      <c r="D14" s="1">
        <v>59663.59</v>
      </c>
      <c r="E14" s="1">
        <v>20741.87</v>
      </c>
      <c r="F14" s="1">
        <v>45254.18</v>
      </c>
      <c r="G14" s="1">
        <v>35151.279999999999</v>
      </c>
    </row>
    <row r="15" spans="1:7" hidden="1" x14ac:dyDescent="0.2">
      <c r="A15">
        <v>6040</v>
      </c>
      <c r="B15" t="s">
        <v>86</v>
      </c>
      <c r="C15">
        <v>4</v>
      </c>
      <c r="D15" s="1">
        <v>10846.59</v>
      </c>
      <c r="E15" s="1">
        <v>10333760.24</v>
      </c>
      <c r="F15" s="1">
        <v>10317266.529999999</v>
      </c>
      <c r="G15" s="1">
        <v>27340.3</v>
      </c>
    </row>
    <row r="16" spans="1:7" hidden="1" x14ac:dyDescent="0.2">
      <c r="A16">
        <v>6045</v>
      </c>
      <c r="B16" t="s">
        <v>87</v>
      </c>
      <c r="C16">
        <v>5</v>
      </c>
      <c r="D16" s="1">
        <v>0</v>
      </c>
      <c r="E16" s="1">
        <v>5788122.8899999997</v>
      </c>
      <c r="F16" s="1">
        <v>5780291.8899999997</v>
      </c>
      <c r="G16" s="1">
        <v>7831</v>
      </c>
    </row>
    <row r="17" spans="1:7" hidden="1" x14ac:dyDescent="0.2">
      <c r="A17">
        <v>6046</v>
      </c>
      <c r="B17" t="s">
        <v>88</v>
      </c>
      <c r="C17">
        <v>5</v>
      </c>
      <c r="D17" s="1">
        <v>0</v>
      </c>
      <c r="E17" s="1">
        <v>2882653.08</v>
      </c>
      <c r="F17" s="1">
        <v>2882653.08</v>
      </c>
      <c r="G17" s="1">
        <v>0</v>
      </c>
    </row>
    <row r="18" spans="1:7" hidden="1" x14ac:dyDescent="0.2">
      <c r="A18">
        <v>6047</v>
      </c>
      <c r="B18" t="s">
        <v>89</v>
      </c>
      <c r="C18">
        <v>5</v>
      </c>
      <c r="D18" s="1">
        <v>1</v>
      </c>
      <c r="E18" s="1">
        <v>1652984.27</v>
      </c>
      <c r="F18" s="1">
        <v>1652984.27</v>
      </c>
      <c r="G18" s="1">
        <v>1</v>
      </c>
    </row>
    <row r="19" spans="1:7" hidden="1" x14ac:dyDescent="0.2">
      <c r="A19">
        <v>6048</v>
      </c>
      <c r="B19" t="s">
        <v>864</v>
      </c>
      <c r="C19">
        <v>5</v>
      </c>
      <c r="D19" s="1">
        <v>12224.79</v>
      </c>
      <c r="E19" s="1">
        <v>10000</v>
      </c>
      <c r="F19" s="1">
        <v>1337.29</v>
      </c>
      <c r="G19" s="1">
        <v>20887.5</v>
      </c>
    </row>
    <row r="20" spans="1:7" hidden="1" x14ac:dyDescent="0.2">
      <c r="A20">
        <v>6067</v>
      </c>
      <c r="B20" t="s">
        <v>90</v>
      </c>
      <c r="C20">
        <v>5</v>
      </c>
      <c r="D20" s="1">
        <v>17.2</v>
      </c>
      <c r="E20" s="1">
        <v>0</v>
      </c>
      <c r="F20" s="1">
        <v>0</v>
      </c>
      <c r="G20" s="1">
        <v>17.2</v>
      </c>
    </row>
    <row r="21" spans="1:7" hidden="1" x14ac:dyDescent="0.2">
      <c r="A21">
        <v>6099</v>
      </c>
      <c r="B21" t="s">
        <v>91</v>
      </c>
      <c r="C21">
        <v>5</v>
      </c>
      <c r="D21" s="1">
        <v>-1396.4</v>
      </c>
      <c r="E21" s="1">
        <v>0</v>
      </c>
      <c r="F21" s="1">
        <v>0</v>
      </c>
      <c r="G21" s="1">
        <v>-1396.4</v>
      </c>
    </row>
    <row r="22" spans="1:7" hidden="1" x14ac:dyDescent="0.2">
      <c r="A22">
        <v>7090</v>
      </c>
      <c r="B22" t="s">
        <v>92</v>
      </c>
      <c r="C22">
        <v>4</v>
      </c>
      <c r="D22" s="1">
        <v>9210784.8200000003</v>
      </c>
      <c r="E22" s="1">
        <v>3604030</v>
      </c>
      <c r="F22" s="1">
        <v>5322359.88</v>
      </c>
      <c r="G22" s="1">
        <v>7492454.9400000004</v>
      </c>
    </row>
    <row r="23" spans="1:7" hidden="1" x14ac:dyDescent="0.2">
      <c r="A23">
        <v>7309</v>
      </c>
      <c r="B23" t="s">
        <v>93</v>
      </c>
      <c r="C23">
        <v>5</v>
      </c>
      <c r="D23" s="1">
        <v>8583345.2799999993</v>
      </c>
      <c r="E23" s="1">
        <v>16452.560000000001</v>
      </c>
      <c r="F23" s="1">
        <v>2781440.37</v>
      </c>
      <c r="G23" s="1">
        <v>5818357.4699999997</v>
      </c>
    </row>
    <row r="24" spans="1:7" hidden="1" x14ac:dyDescent="0.2">
      <c r="A24">
        <v>7312</v>
      </c>
      <c r="B24" t="s">
        <v>94</v>
      </c>
      <c r="C24">
        <v>5</v>
      </c>
      <c r="D24" s="1">
        <v>161803.15</v>
      </c>
      <c r="E24" s="1">
        <v>2343622.0299999998</v>
      </c>
      <c r="F24" s="1">
        <v>919445.44</v>
      </c>
      <c r="G24" s="1">
        <v>1585979.74</v>
      </c>
    </row>
    <row r="25" spans="1:7" hidden="1" x14ac:dyDescent="0.2">
      <c r="A25">
        <v>7313</v>
      </c>
      <c r="B25" t="s">
        <v>95</v>
      </c>
      <c r="C25">
        <v>5</v>
      </c>
      <c r="D25" s="1">
        <v>143679.06</v>
      </c>
      <c r="E25" s="1">
        <v>146257.32999999999</v>
      </c>
      <c r="F25" s="1">
        <v>277827.34999999998</v>
      </c>
      <c r="G25" s="1">
        <v>12109.04</v>
      </c>
    </row>
    <row r="26" spans="1:7" hidden="1" x14ac:dyDescent="0.2">
      <c r="A26">
        <v>7314</v>
      </c>
      <c r="B26" t="s">
        <v>96</v>
      </c>
      <c r="C26">
        <v>5</v>
      </c>
      <c r="D26" s="1">
        <v>321957.33</v>
      </c>
      <c r="E26" s="1">
        <v>1097698.08</v>
      </c>
      <c r="F26" s="1">
        <v>1343646.72</v>
      </c>
      <c r="G26" s="1">
        <v>76008.69</v>
      </c>
    </row>
    <row r="27" spans="1:7" hidden="1" x14ac:dyDescent="0.2">
      <c r="A27">
        <v>8125</v>
      </c>
      <c r="B27" t="s">
        <v>844</v>
      </c>
      <c r="C27">
        <v>4</v>
      </c>
      <c r="D27" s="1">
        <v>1990.1</v>
      </c>
      <c r="E27" s="1">
        <v>0</v>
      </c>
      <c r="F27" s="1">
        <v>0</v>
      </c>
      <c r="G27" s="1">
        <v>1990.1</v>
      </c>
    </row>
    <row r="28" spans="1:7" hidden="1" x14ac:dyDescent="0.2">
      <c r="A28">
        <v>8130</v>
      </c>
      <c r="B28" t="s">
        <v>845</v>
      </c>
      <c r="C28">
        <v>5</v>
      </c>
      <c r="D28" s="1">
        <v>1990.1</v>
      </c>
      <c r="E28" s="1">
        <v>0</v>
      </c>
      <c r="F28" s="1">
        <v>0</v>
      </c>
      <c r="G28" s="1">
        <v>1990.1</v>
      </c>
    </row>
    <row r="29" spans="1:7" hidden="1" x14ac:dyDescent="0.2">
      <c r="A29">
        <v>9000</v>
      </c>
      <c r="B29" t="s">
        <v>714</v>
      </c>
      <c r="C29">
        <v>3</v>
      </c>
      <c r="D29" s="1">
        <v>305981.78000000003</v>
      </c>
      <c r="E29" s="1">
        <v>486.81</v>
      </c>
      <c r="F29" s="1">
        <v>0</v>
      </c>
      <c r="G29" s="1">
        <v>306468.59000000003</v>
      </c>
    </row>
    <row r="30" spans="1:7" hidden="1" x14ac:dyDescent="0.2">
      <c r="A30">
        <v>9035</v>
      </c>
      <c r="B30" t="s">
        <v>715</v>
      </c>
      <c r="C30">
        <v>4</v>
      </c>
      <c r="D30" s="1">
        <v>305981.78000000003</v>
      </c>
      <c r="E30" s="1">
        <v>486.81</v>
      </c>
      <c r="F30" s="1">
        <v>0</v>
      </c>
      <c r="G30" s="1">
        <v>306468.59000000003</v>
      </c>
    </row>
    <row r="31" spans="1:7" hidden="1" x14ac:dyDescent="0.2">
      <c r="A31">
        <v>10000</v>
      </c>
      <c r="B31" t="s">
        <v>97</v>
      </c>
      <c r="C31">
        <v>3</v>
      </c>
      <c r="D31" s="1">
        <v>832143.85</v>
      </c>
      <c r="E31" s="1">
        <v>2101109.62</v>
      </c>
      <c r="F31" s="1">
        <v>2133799.8199999998</v>
      </c>
      <c r="G31" s="1">
        <v>799453.65</v>
      </c>
    </row>
    <row r="32" spans="1:7" hidden="1" x14ac:dyDescent="0.2">
      <c r="A32">
        <v>10135</v>
      </c>
      <c r="B32" t="s">
        <v>98</v>
      </c>
      <c r="C32">
        <v>4</v>
      </c>
      <c r="D32" s="1">
        <v>-9726.93</v>
      </c>
      <c r="E32" s="1">
        <v>1116852.96</v>
      </c>
      <c r="F32" s="1">
        <v>1101975.08</v>
      </c>
      <c r="G32" s="1">
        <v>5150.95</v>
      </c>
    </row>
    <row r="33" spans="1:7" hidden="1" x14ac:dyDescent="0.2">
      <c r="A33">
        <v>11135</v>
      </c>
      <c r="B33" t="s">
        <v>99</v>
      </c>
      <c r="C33">
        <v>4</v>
      </c>
      <c r="D33" s="1">
        <v>147511</v>
      </c>
      <c r="E33" s="1">
        <v>0</v>
      </c>
      <c r="F33" s="1">
        <v>0</v>
      </c>
      <c r="G33" s="1">
        <v>147511</v>
      </c>
    </row>
    <row r="34" spans="1:7" hidden="1" x14ac:dyDescent="0.2">
      <c r="A34">
        <v>11140</v>
      </c>
      <c r="B34" t="s">
        <v>100</v>
      </c>
      <c r="C34">
        <v>4</v>
      </c>
      <c r="D34" s="1">
        <v>140949.63</v>
      </c>
      <c r="E34" s="1">
        <v>139190.85</v>
      </c>
      <c r="F34" s="1">
        <v>170645.03</v>
      </c>
      <c r="G34" s="1">
        <v>109495.45</v>
      </c>
    </row>
    <row r="35" spans="1:7" hidden="1" x14ac:dyDescent="0.2">
      <c r="A35">
        <v>11200</v>
      </c>
      <c r="B35" t="s">
        <v>101</v>
      </c>
      <c r="C35">
        <v>4</v>
      </c>
      <c r="D35" s="1">
        <v>30069.9</v>
      </c>
      <c r="E35" s="1">
        <v>6643.34</v>
      </c>
      <c r="F35" s="1">
        <v>876.8</v>
      </c>
      <c r="G35" s="1">
        <v>35836.44</v>
      </c>
    </row>
    <row r="36" spans="1:7" hidden="1" x14ac:dyDescent="0.2">
      <c r="A36">
        <v>11250</v>
      </c>
      <c r="B36" t="s">
        <v>103</v>
      </c>
      <c r="C36">
        <v>5</v>
      </c>
      <c r="D36" s="1">
        <v>697.6</v>
      </c>
      <c r="E36" s="1">
        <v>0</v>
      </c>
      <c r="F36" s="1">
        <v>697.6</v>
      </c>
      <c r="G36" s="1">
        <v>0</v>
      </c>
    </row>
    <row r="37" spans="1:7" hidden="1" x14ac:dyDescent="0.2">
      <c r="A37">
        <v>11251</v>
      </c>
      <c r="B37" t="s">
        <v>1034</v>
      </c>
      <c r="C37">
        <v>5</v>
      </c>
      <c r="D37" s="1">
        <v>28834.1</v>
      </c>
      <c r="E37" s="1">
        <v>5875.5</v>
      </c>
      <c r="F37" s="1">
        <v>0</v>
      </c>
      <c r="G37" s="1">
        <v>34709.599999999999</v>
      </c>
    </row>
    <row r="38" spans="1:7" hidden="1" x14ac:dyDescent="0.2">
      <c r="A38">
        <v>11253</v>
      </c>
      <c r="B38" t="s">
        <v>105</v>
      </c>
      <c r="C38">
        <v>5</v>
      </c>
      <c r="D38" s="1">
        <v>179.2</v>
      </c>
      <c r="E38" s="1">
        <v>767.84</v>
      </c>
      <c r="F38" s="1">
        <v>179.2</v>
      </c>
      <c r="G38" s="1">
        <v>767.84</v>
      </c>
    </row>
    <row r="39" spans="1:7" hidden="1" x14ac:dyDescent="0.2">
      <c r="A39">
        <v>11284</v>
      </c>
      <c r="B39" t="s">
        <v>1113</v>
      </c>
      <c r="C39">
        <v>5</v>
      </c>
      <c r="D39" s="1">
        <v>288</v>
      </c>
      <c r="E39" s="1">
        <v>0</v>
      </c>
      <c r="F39" s="1">
        <v>0</v>
      </c>
      <c r="G39" s="1">
        <v>288</v>
      </c>
    </row>
    <row r="40" spans="1:7" hidden="1" x14ac:dyDescent="0.2">
      <c r="A40">
        <v>11285</v>
      </c>
      <c r="B40" t="s">
        <v>684</v>
      </c>
      <c r="C40">
        <v>5</v>
      </c>
      <c r="D40" s="1">
        <v>71</v>
      </c>
      <c r="E40" s="1">
        <v>0</v>
      </c>
      <c r="F40" s="1">
        <v>0</v>
      </c>
      <c r="G40" s="1">
        <v>71</v>
      </c>
    </row>
    <row r="41" spans="1:7" hidden="1" x14ac:dyDescent="0.2">
      <c r="A41">
        <v>12135</v>
      </c>
      <c r="B41" t="s">
        <v>106</v>
      </c>
      <c r="C41">
        <v>4</v>
      </c>
      <c r="D41" s="1">
        <v>492254.59</v>
      </c>
      <c r="E41" s="1">
        <v>838422.47</v>
      </c>
      <c r="F41" s="1">
        <v>860043.85</v>
      </c>
      <c r="G41" s="1">
        <v>470633.21</v>
      </c>
    </row>
    <row r="42" spans="1:7" hidden="1" x14ac:dyDescent="0.2">
      <c r="A42">
        <v>12148</v>
      </c>
      <c r="B42" t="s">
        <v>107</v>
      </c>
      <c r="C42">
        <v>5</v>
      </c>
      <c r="D42" s="1">
        <v>23350.880000000001</v>
      </c>
      <c r="E42" s="1">
        <v>12934.15</v>
      </c>
      <c r="F42" s="1">
        <v>22706.09</v>
      </c>
      <c r="G42" s="1">
        <v>13578.94</v>
      </c>
    </row>
    <row r="43" spans="1:7" hidden="1" x14ac:dyDescent="0.2">
      <c r="A43">
        <v>12153</v>
      </c>
      <c r="B43" t="s">
        <v>752</v>
      </c>
      <c r="C43">
        <v>5</v>
      </c>
      <c r="D43" s="1">
        <v>468903.71</v>
      </c>
      <c r="E43" s="1">
        <v>406819.44</v>
      </c>
      <c r="F43" s="1">
        <v>418668.88</v>
      </c>
      <c r="G43" s="1">
        <v>457054.27</v>
      </c>
    </row>
    <row r="44" spans="1:7" hidden="1" x14ac:dyDescent="0.2">
      <c r="A44">
        <v>12180</v>
      </c>
      <c r="B44" t="s">
        <v>108</v>
      </c>
      <c r="C44">
        <v>5</v>
      </c>
      <c r="D44" s="1">
        <v>0</v>
      </c>
      <c r="E44" s="1">
        <v>418668.88</v>
      </c>
      <c r="F44" s="1">
        <v>418668.88</v>
      </c>
      <c r="G44" s="1">
        <v>0</v>
      </c>
    </row>
    <row r="45" spans="1:7" hidden="1" x14ac:dyDescent="0.2">
      <c r="A45">
        <v>13175</v>
      </c>
      <c r="B45" t="s">
        <v>109</v>
      </c>
      <c r="C45">
        <v>4</v>
      </c>
      <c r="D45" s="1">
        <v>108283.9</v>
      </c>
      <c r="E45" s="1">
        <v>0</v>
      </c>
      <c r="F45" s="1">
        <v>0</v>
      </c>
      <c r="G45" s="1">
        <v>108283.9</v>
      </c>
    </row>
    <row r="46" spans="1:7" hidden="1" x14ac:dyDescent="0.2">
      <c r="A46">
        <v>13230</v>
      </c>
      <c r="B46" t="s">
        <v>716</v>
      </c>
      <c r="C46">
        <v>5</v>
      </c>
      <c r="D46" s="1">
        <v>2442.3000000000002</v>
      </c>
      <c r="E46" s="1">
        <v>0</v>
      </c>
      <c r="F46" s="1">
        <v>0</v>
      </c>
      <c r="G46" s="1">
        <v>2442.3000000000002</v>
      </c>
    </row>
    <row r="47" spans="1:7" hidden="1" x14ac:dyDescent="0.2">
      <c r="A47">
        <v>13396</v>
      </c>
      <c r="B47" t="s">
        <v>110</v>
      </c>
      <c r="C47">
        <v>5</v>
      </c>
      <c r="D47" s="1">
        <v>5049.45</v>
      </c>
      <c r="E47" s="1">
        <v>0</v>
      </c>
      <c r="F47" s="1">
        <v>0</v>
      </c>
      <c r="G47" s="1">
        <v>5049.45</v>
      </c>
    </row>
    <row r="48" spans="1:7" hidden="1" x14ac:dyDescent="0.2">
      <c r="A48">
        <v>13400</v>
      </c>
      <c r="B48" t="s">
        <v>111</v>
      </c>
      <c r="C48">
        <v>5</v>
      </c>
      <c r="D48" s="1">
        <v>72300.34</v>
      </c>
      <c r="E48" s="1">
        <v>0</v>
      </c>
      <c r="F48" s="1">
        <v>0</v>
      </c>
      <c r="G48" s="1">
        <v>72300.34</v>
      </c>
    </row>
    <row r="49" spans="1:7" hidden="1" x14ac:dyDescent="0.2">
      <c r="A49">
        <v>13401</v>
      </c>
      <c r="B49" t="s">
        <v>112</v>
      </c>
      <c r="C49">
        <v>5</v>
      </c>
      <c r="D49" s="1">
        <v>2045</v>
      </c>
      <c r="E49" s="1">
        <v>0</v>
      </c>
      <c r="F49" s="1">
        <v>0</v>
      </c>
      <c r="G49" s="1">
        <v>2045</v>
      </c>
    </row>
    <row r="50" spans="1:7" hidden="1" x14ac:dyDescent="0.2">
      <c r="A50">
        <v>13402</v>
      </c>
      <c r="B50" t="s">
        <v>113</v>
      </c>
      <c r="C50">
        <v>5</v>
      </c>
      <c r="D50" s="1">
        <v>1113</v>
      </c>
      <c r="E50" s="1">
        <v>0</v>
      </c>
      <c r="F50" s="1">
        <v>0</v>
      </c>
      <c r="G50" s="1">
        <v>1113</v>
      </c>
    </row>
    <row r="51" spans="1:7" hidden="1" x14ac:dyDescent="0.2">
      <c r="A51">
        <v>13404</v>
      </c>
      <c r="B51" t="s">
        <v>114</v>
      </c>
      <c r="C51">
        <v>5</v>
      </c>
      <c r="D51" s="1">
        <v>256.81</v>
      </c>
      <c r="E51" s="1">
        <v>0</v>
      </c>
      <c r="F51" s="1">
        <v>0</v>
      </c>
      <c r="G51" s="1">
        <v>256.81</v>
      </c>
    </row>
    <row r="52" spans="1:7" hidden="1" x14ac:dyDescent="0.2">
      <c r="A52">
        <v>13406</v>
      </c>
      <c r="B52" t="s">
        <v>115</v>
      </c>
      <c r="C52">
        <v>5</v>
      </c>
      <c r="D52" s="1">
        <v>18280.5</v>
      </c>
      <c r="E52" s="1">
        <v>0</v>
      </c>
      <c r="F52" s="1">
        <v>0</v>
      </c>
      <c r="G52" s="1">
        <v>18280.5</v>
      </c>
    </row>
    <row r="53" spans="1:7" hidden="1" x14ac:dyDescent="0.2">
      <c r="A53">
        <v>13407</v>
      </c>
      <c r="B53" t="s">
        <v>680</v>
      </c>
      <c r="C53">
        <v>5</v>
      </c>
      <c r="D53" s="1">
        <v>4000</v>
      </c>
      <c r="E53" s="1">
        <v>0</v>
      </c>
      <c r="F53" s="1">
        <v>0</v>
      </c>
      <c r="G53" s="1">
        <v>4000</v>
      </c>
    </row>
    <row r="54" spans="1:7" hidden="1" x14ac:dyDescent="0.2">
      <c r="A54">
        <v>13408</v>
      </c>
      <c r="B54" t="s">
        <v>717</v>
      </c>
      <c r="C54">
        <v>5</v>
      </c>
      <c r="D54" s="1">
        <v>2796.5</v>
      </c>
      <c r="E54" s="1">
        <v>0</v>
      </c>
      <c r="F54" s="1">
        <v>0</v>
      </c>
      <c r="G54" s="1">
        <v>2796.5</v>
      </c>
    </row>
    <row r="55" spans="1:7" hidden="1" x14ac:dyDescent="0.2">
      <c r="A55">
        <v>18355</v>
      </c>
      <c r="B55" t="s">
        <v>116</v>
      </c>
      <c r="C55">
        <v>4</v>
      </c>
      <c r="D55" s="1">
        <v>-77198.240000000005</v>
      </c>
      <c r="E55" s="1">
        <v>0</v>
      </c>
      <c r="F55" s="1">
        <v>259.06</v>
      </c>
      <c r="G55" s="1">
        <v>-77457.3</v>
      </c>
    </row>
    <row r="56" spans="1:7" hidden="1" x14ac:dyDescent="0.2">
      <c r="A56">
        <v>19355</v>
      </c>
      <c r="B56" t="s">
        <v>117</v>
      </c>
      <c r="C56">
        <v>3</v>
      </c>
      <c r="D56" s="1">
        <v>546550.15</v>
      </c>
      <c r="E56" s="1">
        <v>368686.03</v>
      </c>
      <c r="F56" s="1">
        <v>442612.82</v>
      </c>
      <c r="G56" s="1">
        <v>472623.35999999999</v>
      </c>
    </row>
    <row r="57" spans="1:7" hidden="1" x14ac:dyDescent="0.2">
      <c r="A57">
        <v>20355</v>
      </c>
      <c r="B57" t="s">
        <v>118</v>
      </c>
      <c r="C57">
        <v>4</v>
      </c>
      <c r="D57" s="1">
        <v>546550.15</v>
      </c>
      <c r="E57" s="1">
        <v>368686.03</v>
      </c>
      <c r="F57" s="1">
        <v>442612.82</v>
      </c>
      <c r="G57" s="1">
        <v>472623.35999999999</v>
      </c>
    </row>
    <row r="58" spans="1:7" hidden="1" x14ac:dyDescent="0.2">
      <c r="A58">
        <v>20360</v>
      </c>
      <c r="B58" t="s">
        <v>119</v>
      </c>
      <c r="C58">
        <v>5</v>
      </c>
      <c r="D58" s="1">
        <v>159958.20000000001</v>
      </c>
      <c r="E58" s="1">
        <v>252446.79</v>
      </c>
      <c r="F58" s="1">
        <v>292539.25</v>
      </c>
      <c r="G58" s="1">
        <v>119865.74</v>
      </c>
    </row>
    <row r="59" spans="1:7" hidden="1" x14ac:dyDescent="0.2">
      <c r="A59">
        <v>20365</v>
      </c>
      <c r="B59" t="s">
        <v>120</v>
      </c>
      <c r="C59">
        <v>5</v>
      </c>
      <c r="D59" s="1">
        <v>32349.15</v>
      </c>
      <c r="E59" s="1">
        <v>37415.160000000003</v>
      </c>
      <c r="F59" s="1">
        <v>46226.65</v>
      </c>
      <c r="G59" s="1">
        <v>23537.66</v>
      </c>
    </row>
    <row r="60" spans="1:7" hidden="1" x14ac:dyDescent="0.2">
      <c r="A60">
        <v>20370</v>
      </c>
      <c r="B60" t="s">
        <v>121</v>
      </c>
      <c r="C60">
        <v>5</v>
      </c>
      <c r="D60" s="1">
        <v>35432.9</v>
      </c>
      <c r="E60" s="1">
        <v>1916.14</v>
      </c>
      <c r="F60" s="1">
        <v>3105.85</v>
      </c>
      <c r="G60" s="1">
        <v>34243.19</v>
      </c>
    </row>
    <row r="61" spans="1:7" hidden="1" x14ac:dyDescent="0.2">
      <c r="A61">
        <v>20375</v>
      </c>
      <c r="B61" t="s">
        <v>122</v>
      </c>
      <c r="C61">
        <v>5</v>
      </c>
      <c r="D61" s="1">
        <v>77767.149999999994</v>
      </c>
      <c r="E61" s="1">
        <v>18089.84</v>
      </c>
      <c r="F61" s="1">
        <v>36179.65</v>
      </c>
      <c r="G61" s="1">
        <v>59677.34</v>
      </c>
    </row>
    <row r="62" spans="1:7" hidden="1" x14ac:dyDescent="0.2">
      <c r="A62">
        <v>20380</v>
      </c>
      <c r="B62" t="s">
        <v>123</v>
      </c>
      <c r="C62">
        <v>5</v>
      </c>
      <c r="D62" s="1">
        <v>17573.830000000002</v>
      </c>
      <c r="E62" s="1">
        <v>363.93</v>
      </c>
      <c r="F62" s="1">
        <v>2059.67</v>
      </c>
      <c r="G62" s="1">
        <v>15878.09</v>
      </c>
    </row>
    <row r="63" spans="1:7" hidden="1" x14ac:dyDescent="0.2">
      <c r="A63">
        <v>20385</v>
      </c>
      <c r="B63" t="s">
        <v>124</v>
      </c>
      <c r="C63">
        <v>5</v>
      </c>
      <c r="D63" s="1">
        <v>10086.42</v>
      </c>
      <c r="E63" s="1">
        <v>3768.42</v>
      </c>
      <c r="F63" s="1">
        <v>3054.13</v>
      </c>
      <c r="G63" s="1">
        <v>10800.71</v>
      </c>
    </row>
    <row r="64" spans="1:7" hidden="1" x14ac:dyDescent="0.2">
      <c r="A64">
        <v>20390</v>
      </c>
      <c r="B64" t="s">
        <v>125</v>
      </c>
      <c r="C64">
        <v>5</v>
      </c>
      <c r="D64" s="1">
        <v>38459.879999999997</v>
      </c>
      <c r="E64" s="1">
        <v>26006.93</v>
      </c>
      <c r="F64" s="1">
        <v>27844.11</v>
      </c>
      <c r="G64" s="1">
        <v>36622.699999999997</v>
      </c>
    </row>
    <row r="65" spans="1:7" hidden="1" x14ac:dyDescent="0.2">
      <c r="A65">
        <v>20395</v>
      </c>
      <c r="B65" t="s">
        <v>126</v>
      </c>
      <c r="C65">
        <v>5</v>
      </c>
      <c r="D65" s="1">
        <v>82981.14</v>
      </c>
      <c r="E65" s="1">
        <v>14573.45</v>
      </c>
      <c r="F65" s="1">
        <v>16364.32</v>
      </c>
      <c r="G65" s="1">
        <v>81190.27</v>
      </c>
    </row>
    <row r="66" spans="1:7" hidden="1" x14ac:dyDescent="0.2">
      <c r="A66">
        <v>20400</v>
      </c>
      <c r="B66" t="s">
        <v>127</v>
      </c>
      <c r="C66">
        <v>5</v>
      </c>
      <c r="D66" s="1">
        <v>13114.05</v>
      </c>
      <c r="E66" s="1">
        <v>0</v>
      </c>
      <c r="F66" s="1">
        <v>886.72</v>
      </c>
      <c r="G66" s="1">
        <v>12227.33</v>
      </c>
    </row>
    <row r="67" spans="1:7" hidden="1" x14ac:dyDescent="0.2">
      <c r="A67">
        <v>20405</v>
      </c>
      <c r="B67" t="s">
        <v>128</v>
      </c>
      <c r="C67">
        <v>5</v>
      </c>
      <c r="D67" s="1">
        <v>34055.07</v>
      </c>
      <c r="E67" s="1">
        <v>0</v>
      </c>
      <c r="F67" s="1">
        <v>1223.52</v>
      </c>
      <c r="G67" s="1">
        <v>32831.550000000003</v>
      </c>
    </row>
    <row r="68" spans="1:7" hidden="1" x14ac:dyDescent="0.2">
      <c r="A68">
        <v>20410</v>
      </c>
      <c r="B68" t="s">
        <v>129</v>
      </c>
      <c r="C68">
        <v>5</v>
      </c>
      <c r="D68" s="1">
        <v>37123.03</v>
      </c>
      <c r="E68" s="1">
        <v>8242.7099999999991</v>
      </c>
      <c r="F68" s="1">
        <v>5771.73</v>
      </c>
      <c r="G68" s="1">
        <v>39594.01</v>
      </c>
    </row>
    <row r="69" spans="1:7" hidden="1" x14ac:dyDescent="0.2">
      <c r="A69">
        <v>20425</v>
      </c>
      <c r="B69" t="s">
        <v>130</v>
      </c>
      <c r="C69">
        <v>5</v>
      </c>
      <c r="D69" s="1">
        <v>7649.33</v>
      </c>
      <c r="E69" s="1">
        <v>5862.66</v>
      </c>
      <c r="F69" s="1">
        <v>7357.22</v>
      </c>
      <c r="G69" s="1">
        <v>6154.77</v>
      </c>
    </row>
    <row r="70" spans="1:7" hidden="1" x14ac:dyDescent="0.2">
      <c r="A70">
        <v>21415</v>
      </c>
      <c r="B70" t="s">
        <v>131</v>
      </c>
      <c r="C70">
        <v>3</v>
      </c>
      <c r="D70" s="1">
        <v>3465554.99</v>
      </c>
      <c r="E70" s="1">
        <v>2891775.25</v>
      </c>
      <c r="F70" s="1">
        <v>2334765.4700000002</v>
      </c>
      <c r="G70" s="1">
        <v>4022564.77</v>
      </c>
    </row>
    <row r="71" spans="1:7" hidden="1" x14ac:dyDescent="0.2">
      <c r="A71">
        <v>22415</v>
      </c>
      <c r="B71" t="s">
        <v>132</v>
      </c>
      <c r="C71">
        <v>4</v>
      </c>
      <c r="D71" s="1">
        <v>35054.26</v>
      </c>
      <c r="E71" s="1">
        <v>32640.29</v>
      </c>
      <c r="F71" s="1">
        <v>20667.599999999999</v>
      </c>
      <c r="G71" s="1">
        <v>47026.95</v>
      </c>
    </row>
    <row r="72" spans="1:7" hidden="1" x14ac:dyDescent="0.2">
      <c r="A72">
        <v>23415</v>
      </c>
      <c r="B72" t="s">
        <v>133</v>
      </c>
      <c r="C72">
        <v>4</v>
      </c>
      <c r="D72" s="1">
        <v>1350569.67</v>
      </c>
      <c r="E72" s="1">
        <v>603907.71</v>
      </c>
      <c r="F72" s="1">
        <v>10463.35</v>
      </c>
      <c r="G72" s="1">
        <v>1944014.03</v>
      </c>
    </row>
    <row r="73" spans="1:7" hidden="1" x14ac:dyDescent="0.2">
      <c r="A73">
        <v>25415</v>
      </c>
      <c r="B73" t="s">
        <v>134</v>
      </c>
      <c r="C73">
        <v>4</v>
      </c>
      <c r="D73" s="1">
        <v>501.6</v>
      </c>
      <c r="E73" s="1">
        <v>0</v>
      </c>
      <c r="F73" s="1">
        <v>0</v>
      </c>
      <c r="G73" s="1">
        <v>501.6</v>
      </c>
    </row>
    <row r="74" spans="1:7" hidden="1" x14ac:dyDescent="0.2">
      <c r="A74">
        <v>25500</v>
      </c>
      <c r="B74" t="s">
        <v>135</v>
      </c>
      <c r="C74">
        <v>4</v>
      </c>
      <c r="D74" s="1">
        <v>2079429.46</v>
      </c>
      <c r="E74" s="1">
        <v>2255227.25</v>
      </c>
      <c r="F74" s="1">
        <v>2303634.52</v>
      </c>
      <c r="G74" s="1">
        <v>2031022.19</v>
      </c>
    </row>
    <row r="75" spans="1:7" hidden="1" x14ac:dyDescent="0.2">
      <c r="A75">
        <v>25522</v>
      </c>
      <c r="B75" t="s">
        <v>136</v>
      </c>
      <c r="C75">
        <v>5</v>
      </c>
      <c r="D75" s="1">
        <v>-322298.67</v>
      </c>
      <c r="E75" s="1">
        <v>622900.41</v>
      </c>
      <c r="F75" s="1">
        <v>40881.67</v>
      </c>
      <c r="G75" s="1">
        <v>259720.07</v>
      </c>
    </row>
    <row r="76" spans="1:7" hidden="1" x14ac:dyDescent="0.2">
      <c r="A76">
        <v>25523</v>
      </c>
      <c r="B76" t="s">
        <v>105</v>
      </c>
      <c r="C76">
        <v>5</v>
      </c>
      <c r="D76" s="1">
        <v>93757.16</v>
      </c>
      <c r="E76" s="1">
        <v>109097.73</v>
      </c>
      <c r="F76" s="1">
        <v>95108.44</v>
      </c>
      <c r="G76" s="1">
        <v>107746.45</v>
      </c>
    </row>
    <row r="77" spans="1:7" hidden="1" x14ac:dyDescent="0.2">
      <c r="A77">
        <v>25524</v>
      </c>
      <c r="B77" t="s">
        <v>103</v>
      </c>
      <c r="C77">
        <v>5</v>
      </c>
      <c r="D77" s="1">
        <v>7286.54</v>
      </c>
      <c r="E77" s="1">
        <v>7555.06</v>
      </c>
      <c r="F77" s="1">
        <v>13110.21</v>
      </c>
      <c r="G77" s="1">
        <v>1731.39</v>
      </c>
    </row>
    <row r="78" spans="1:7" hidden="1" x14ac:dyDescent="0.2">
      <c r="A78">
        <v>25525</v>
      </c>
      <c r="B78" t="s">
        <v>137</v>
      </c>
      <c r="C78">
        <v>5</v>
      </c>
      <c r="D78" s="1">
        <v>137389.93</v>
      </c>
      <c r="E78" s="1">
        <v>149916.62</v>
      </c>
      <c r="F78" s="1">
        <v>91510.29</v>
      </c>
      <c r="G78" s="1">
        <v>195796.26</v>
      </c>
    </row>
    <row r="79" spans="1:7" hidden="1" x14ac:dyDescent="0.2">
      <c r="A79">
        <v>25526</v>
      </c>
      <c r="B79" t="s">
        <v>138</v>
      </c>
      <c r="C79">
        <v>5</v>
      </c>
      <c r="D79" s="1">
        <v>49014.02</v>
      </c>
      <c r="E79" s="1">
        <v>18360.77</v>
      </c>
      <c r="F79" s="1">
        <v>21258.9</v>
      </c>
      <c r="G79" s="1">
        <v>46115.89</v>
      </c>
    </row>
    <row r="80" spans="1:7" hidden="1" x14ac:dyDescent="0.2">
      <c r="A80">
        <v>25527</v>
      </c>
      <c r="B80" t="s">
        <v>139</v>
      </c>
      <c r="C80">
        <v>5</v>
      </c>
      <c r="D80" s="1">
        <v>235232.54</v>
      </c>
      <c r="E80" s="1">
        <v>189137.26</v>
      </c>
      <c r="F80" s="1">
        <v>79379.37</v>
      </c>
      <c r="G80" s="1">
        <v>344990.43</v>
      </c>
    </row>
    <row r="81" spans="1:7" hidden="1" x14ac:dyDescent="0.2">
      <c r="A81">
        <v>25528</v>
      </c>
      <c r="B81" t="s">
        <v>140</v>
      </c>
      <c r="C81">
        <v>5</v>
      </c>
      <c r="D81" s="1">
        <v>115594.92</v>
      </c>
      <c r="E81" s="1">
        <v>44356.1</v>
      </c>
      <c r="F81" s="1">
        <v>26572.25</v>
      </c>
      <c r="G81" s="1">
        <v>133378.76999999999</v>
      </c>
    </row>
    <row r="82" spans="1:7" hidden="1" x14ac:dyDescent="0.2">
      <c r="A82">
        <v>25529</v>
      </c>
      <c r="B82" t="s">
        <v>141</v>
      </c>
      <c r="C82">
        <v>5</v>
      </c>
      <c r="D82" s="1">
        <v>165342.41</v>
      </c>
      <c r="E82" s="1">
        <v>65675</v>
      </c>
      <c r="F82" s="1">
        <v>132018.59</v>
      </c>
      <c r="G82" s="1">
        <v>98998.82</v>
      </c>
    </row>
    <row r="83" spans="1:7" hidden="1" x14ac:dyDescent="0.2">
      <c r="A83">
        <v>25530</v>
      </c>
      <c r="B83" t="s">
        <v>142</v>
      </c>
      <c r="C83">
        <v>5</v>
      </c>
      <c r="D83" s="1">
        <v>116660.5</v>
      </c>
      <c r="E83" s="1">
        <v>53978.06</v>
      </c>
      <c r="F83" s="1">
        <v>109170.44</v>
      </c>
      <c r="G83" s="1">
        <v>61468.12</v>
      </c>
    </row>
    <row r="84" spans="1:7" hidden="1" x14ac:dyDescent="0.2">
      <c r="A84">
        <v>25531</v>
      </c>
      <c r="B84" t="s">
        <v>684</v>
      </c>
      <c r="C84">
        <v>5</v>
      </c>
      <c r="D84" s="1">
        <v>882763.14</v>
      </c>
      <c r="E84" s="1">
        <v>384662.26</v>
      </c>
      <c r="F84" s="1">
        <v>557592.87</v>
      </c>
      <c r="G84" s="1">
        <v>709832.53</v>
      </c>
    </row>
    <row r="85" spans="1:7" hidden="1" x14ac:dyDescent="0.2">
      <c r="A85">
        <v>25532</v>
      </c>
      <c r="B85" t="s">
        <v>1035</v>
      </c>
      <c r="C85">
        <v>5</v>
      </c>
      <c r="D85" s="1">
        <v>573261.97</v>
      </c>
      <c r="E85" s="1">
        <v>412249.28</v>
      </c>
      <c r="F85" s="1">
        <v>985511.25</v>
      </c>
      <c r="G85" s="1">
        <v>0</v>
      </c>
    </row>
    <row r="86" spans="1:7" hidden="1" x14ac:dyDescent="0.2">
      <c r="A86">
        <v>25533</v>
      </c>
      <c r="B86" t="s">
        <v>1036</v>
      </c>
      <c r="C86">
        <v>5</v>
      </c>
      <c r="D86" s="1">
        <v>0</v>
      </c>
      <c r="E86" s="1">
        <v>73662.83</v>
      </c>
      <c r="F86" s="1">
        <v>53110.51</v>
      </c>
      <c r="G86" s="1">
        <v>20552.32</v>
      </c>
    </row>
    <row r="87" spans="1:7" hidden="1" x14ac:dyDescent="0.2">
      <c r="A87">
        <v>25534</v>
      </c>
      <c r="B87" t="s">
        <v>1037</v>
      </c>
      <c r="C87">
        <v>5</v>
      </c>
      <c r="D87" s="1">
        <v>0</v>
      </c>
      <c r="E87" s="1">
        <v>41826.67</v>
      </c>
      <c r="F87" s="1">
        <v>27173</v>
      </c>
      <c r="G87" s="1">
        <v>14653.67</v>
      </c>
    </row>
    <row r="88" spans="1:7" hidden="1" x14ac:dyDescent="0.2">
      <c r="A88">
        <v>25536</v>
      </c>
      <c r="B88" t="s">
        <v>1038</v>
      </c>
      <c r="C88">
        <v>5</v>
      </c>
      <c r="D88" s="1">
        <v>25425</v>
      </c>
      <c r="E88" s="1">
        <v>76543</v>
      </c>
      <c r="F88" s="1">
        <v>67661.919999999998</v>
      </c>
      <c r="G88" s="1">
        <v>34306.080000000002</v>
      </c>
    </row>
    <row r="89" spans="1:7" hidden="1" x14ac:dyDescent="0.2">
      <c r="A89">
        <v>25537</v>
      </c>
      <c r="B89" t="s">
        <v>1039</v>
      </c>
      <c r="C89">
        <v>5</v>
      </c>
      <c r="D89" s="1">
        <v>0</v>
      </c>
      <c r="E89" s="1">
        <v>5306.2</v>
      </c>
      <c r="F89" s="1">
        <v>3574.81</v>
      </c>
      <c r="G89" s="1">
        <v>1731.39</v>
      </c>
    </row>
    <row r="90" spans="1:7" hidden="1" x14ac:dyDescent="0.2">
      <c r="A90">
        <v>30400</v>
      </c>
      <c r="B90" t="s">
        <v>143</v>
      </c>
      <c r="C90">
        <v>3</v>
      </c>
      <c r="D90" s="1">
        <v>1236800.74</v>
      </c>
      <c r="E90" s="1">
        <v>18609.88</v>
      </c>
      <c r="F90" s="1">
        <v>17463.060000000001</v>
      </c>
      <c r="G90" s="1">
        <v>1237947.56</v>
      </c>
    </row>
    <row r="91" spans="1:7" hidden="1" x14ac:dyDescent="0.2">
      <c r="A91">
        <v>30435</v>
      </c>
      <c r="B91" t="s">
        <v>144</v>
      </c>
      <c r="C91">
        <v>4</v>
      </c>
      <c r="D91" s="1">
        <v>1131308.46</v>
      </c>
      <c r="E91" s="1">
        <v>1146.83</v>
      </c>
      <c r="F91" s="1">
        <v>0</v>
      </c>
      <c r="G91" s="1">
        <v>1132455.29</v>
      </c>
    </row>
    <row r="92" spans="1:7" hidden="1" x14ac:dyDescent="0.2">
      <c r="A92">
        <v>30475</v>
      </c>
      <c r="B92" t="s">
        <v>145</v>
      </c>
      <c r="C92">
        <v>5</v>
      </c>
      <c r="D92" s="1">
        <v>11727.16</v>
      </c>
      <c r="E92" s="1">
        <v>1146.83</v>
      </c>
      <c r="F92" s="1">
        <v>0</v>
      </c>
      <c r="G92" s="1">
        <v>12873.99</v>
      </c>
    </row>
    <row r="93" spans="1:7" hidden="1" x14ac:dyDescent="0.2">
      <c r="A93">
        <v>30510</v>
      </c>
      <c r="B93" t="s">
        <v>846</v>
      </c>
      <c r="C93">
        <v>5</v>
      </c>
      <c r="D93" s="1">
        <v>1079262.8999999999</v>
      </c>
      <c r="E93" s="1">
        <v>0</v>
      </c>
      <c r="F93" s="1">
        <v>0</v>
      </c>
      <c r="G93" s="1">
        <v>1079262.8999999999</v>
      </c>
    </row>
    <row r="94" spans="1:7" hidden="1" x14ac:dyDescent="0.2">
      <c r="A94">
        <v>30580</v>
      </c>
      <c r="B94" t="s">
        <v>146</v>
      </c>
      <c r="C94">
        <v>5</v>
      </c>
      <c r="D94" s="1">
        <v>1962.73</v>
      </c>
      <c r="E94" s="1">
        <v>0</v>
      </c>
      <c r="F94" s="1">
        <v>0</v>
      </c>
      <c r="G94" s="1">
        <v>1962.73</v>
      </c>
    </row>
    <row r="95" spans="1:7" hidden="1" x14ac:dyDescent="0.2">
      <c r="A95">
        <v>30581</v>
      </c>
      <c r="B95" t="s">
        <v>147</v>
      </c>
      <c r="C95">
        <v>5</v>
      </c>
      <c r="D95" s="1">
        <v>408.89</v>
      </c>
      <c r="E95" s="1">
        <v>0</v>
      </c>
      <c r="F95" s="1">
        <v>0</v>
      </c>
      <c r="G95" s="1">
        <v>408.89</v>
      </c>
    </row>
    <row r="96" spans="1:7" hidden="1" x14ac:dyDescent="0.2">
      <c r="A96">
        <v>30582</v>
      </c>
      <c r="B96" t="s">
        <v>148</v>
      </c>
      <c r="C96">
        <v>5</v>
      </c>
      <c r="D96" s="1">
        <v>1226.69</v>
      </c>
      <c r="E96" s="1">
        <v>0</v>
      </c>
      <c r="F96" s="1">
        <v>0</v>
      </c>
      <c r="G96" s="1">
        <v>1226.69</v>
      </c>
    </row>
    <row r="97" spans="1:7" hidden="1" x14ac:dyDescent="0.2">
      <c r="A97">
        <v>30583</v>
      </c>
      <c r="B97" t="s">
        <v>149</v>
      </c>
      <c r="C97">
        <v>5</v>
      </c>
      <c r="D97" s="1">
        <v>265.77999999999997</v>
      </c>
      <c r="E97" s="1">
        <v>0</v>
      </c>
      <c r="F97" s="1">
        <v>0</v>
      </c>
      <c r="G97" s="1">
        <v>265.77999999999997</v>
      </c>
    </row>
    <row r="98" spans="1:7" hidden="1" x14ac:dyDescent="0.2">
      <c r="A98">
        <v>30585</v>
      </c>
      <c r="B98" t="s">
        <v>150</v>
      </c>
      <c r="C98">
        <v>5</v>
      </c>
      <c r="D98" s="1">
        <v>227.59</v>
      </c>
      <c r="E98" s="1">
        <v>0</v>
      </c>
      <c r="F98" s="1">
        <v>0</v>
      </c>
      <c r="G98" s="1">
        <v>227.59</v>
      </c>
    </row>
    <row r="99" spans="1:7" hidden="1" x14ac:dyDescent="0.2">
      <c r="A99">
        <v>31134</v>
      </c>
      <c r="B99" t="s">
        <v>151</v>
      </c>
      <c r="C99">
        <v>5</v>
      </c>
      <c r="D99" s="1">
        <v>1042.8399999999999</v>
      </c>
      <c r="E99" s="1">
        <v>0</v>
      </c>
      <c r="F99" s="1">
        <v>0</v>
      </c>
      <c r="G99" s="1">
        <v>1042.8399999999999</v>
      </c>
    </row>
    <row r="100" spans="1:7" hidden="1" x14ac:dyDescent="0.2">
      <c r="A100">
        <v>31136</v>
      </c>
      <c r="B100" t="s">
        <v>152</v>
      </c>
      <c r="C100">
        <v>5</v>
      </c>
      <c r="D100" s="1">
        <v>34086.31</v>
      </c>
      <c r="E100" s="1">
        <v>0</v>
      </c>
      <c r="F100" s="1">
        <v>0</v>
      </c>
      <c r="G100" s="1">
        <v>34086.31</v>
      </c>
    </row>
    <row r="101" spans="1:7" hidden="1" x14ac:dyDescent="0.2">
      <c r="A101">
        <v>31140</v>
      </c>
      <c r="B101" t="s">
        <v>781</v>
      </c>
      <c r="C101">
        <v>5</v>
      </c>
      <c r="D101" s="1">
        <v>1097.57</v>
      </c>
      <c r="E101" s="1">
        <v>0</v>
      </c>
      <c r="F101" s="1">
        <v>0</v>
      </c>
      <c r="G101" s="1">
        <v>1097.57</v>
      </c>
    </row>
    <row r="102" spans="1:7" hidden="1" x14ac:dyDescent="0.2">
      <c r="A102">
        <v>31465</v>
      </c>
      <c r="B102" t="s">
        <v>153</v>
      </c>
      <c r="C102">
        <v>4</v>
      </c>
      <c r="D102" s="1">
        <v>736.11</v>
      </c>
      <c r="E102" s="1">
        <v>17463.05</v>
      </c>
      <c r="F102" s="1">
        <v>17463.060000000001</v>
      </c>
      <c r="G102" s="1">
        <v>736.1</v>
      </c>
    </row>
    <row r="103" spans="1:7" hidden="1" x14ac:dyDescent="0.2">
      <c r="A103">
        <v>31475</v>
      </c>
      <c r="B103" t="s">
        <v>154</v>
      </c>
      <c r="C103">
        <v>5</v>
      </c>
      <c r="D103" s="1">
        <v>736.1</v>
      </c>
      <c r="E103" s="1">
        <v>559.30999999999995</v>
      </c>
      <c r="F103" s="1">
        <v>559.30999999999995</v>
      </c>
      <c r="G103" s="1">
        <v>736.1</v>
      </c>
    </row>
    <row r="104" spans="1:7" hidden="1" x14ac:dyDescent="0.2">
      <c r="A104">
        <v>31476</v>
      </c>
      <c r="B104" t="s">
        <v>718</v>
      </c>
      <c r="C104">
        <v>5</v>
      </c>
      <c r="D104" s="1">
        <v>0.02</v>
      </c>
      <c r="E104" s="1">
        <v>3015.26</v>
      </c>
      <c r="F104" s="1">
        <v>3015.28</v>
      </c>
      <c r="G104" s="1">
        <v>0</v>
      </c>
    </row>
    <row r="105" spans="1:7" hidden="1" x14ac:dyDescent="0.2">
      <c r="A105">
        <v>31477</v>
      </c>
      <c r="B105" t="s">
        <v>719</v>
      </c>
      <c r="C105">
        <v>5</v>
      </c>
      <c r="D105" s="1">
        <v>-0.01</v>
      </c>
      <c r="E105" s="1">
        <v>13888.48</v>
      </c>
      <c r="F105" s="1">
        <v>13888.47</v>
      </c>
      <c r="G105" s="1">
        <v>0</v>
      </c>
    </row>
    <row r="106" spans="1:7" hidden="1" x14ac:dyDescent="0.2">
      <c r="A106">
        <v>32495</v>
      </c>
      <c r="B106" t="s">
        <v>155</v>
      </c>
      <c r="C106">
        <v>4</v>
      </c>
      <c r="D106" s="1">
        <v>104756.17</v>
      </c>
      <c r="E106" s="1">
        <v>0</v>
      </c>
      <c r="F106" s="1">
        <v>0</v>
      </c>
      <c r="G106" s="1">
        <v>104756.17</v>
      </c>
    </row>
    <row r="107" spans="1:7" hidden="1" x14ac:dyDescent="0.2">
      <c r="A107">
        <v>32525</v>
      </c>
      <c r="B107" t="s">
        <v>156</v>
      </c>
      <c r="C107">
        <v>5</v>
      </c>
      <c r="D107" s="1">
        <v>75082.98</v>
      </c>
      <c r="E107" s="1">
        <v>0</v>
      </c>
      <c r="F107" s="1">
        <v>0</v>
      </c>
      <c r="G107" s="1">
        <v>75082.98</v>
      </c>
    </row>
    <row r="108" spans="1:7" hidden="1" x14ac:dyDescent="0.2">
      <c r="A108">
        <v>32530</v>
      </c>
      <c r="B108" t="s">
        <v>157</v>
      </c>
      <c r="C108">
        <v>5</v>
      </c>
      <c r="D108" s="1">
        <v>5313.52</v>
      </c>
      <c r="E108" s="1">
        <v>0</v>
      </c>
      <c r="F108" s="1">
        <v>0</v>
      </c>
      <c r="G108" s="1">
        <v>5313.52</v>
      </c>
    </row>
    <row r="109" spans="1:7" hidden="1" x14ac:dyDescent="0.2">
      <c r="A109">
        <v>32535</v>
      </c>
      <c r="B109" t="s">
        <v>158</v>
      </c>
      <c r="C109">
        <v>5</v>
      </c>
      <c r="D109" s="1">
        <v>24359.67</v>
      </c>
      <c r="E109" s="1">
        <v>0</v>
      </c>
      <c r="F109" s="1">
        <v>0</v>
      </c>
      <c r="G109" s="1">
        <v>24359.67</v>
      </c>
    </row>
    <row r="110" spans="1:7" hidden="1" x14ac:dyDescent="0.2">
      <c r="A110">
        <v>39610</v>
      </c>
      <c r="B110" t="s">
        <v>159</v>
      </c>
      <c r="C110">
        <v>3</v>
      </c>
      <c r="D110" s="1">
        <v>1538708.37</v>
      </c>
      <c r="E110" s="1">
        <v>1295484.31</v>
      </c>
      <c r="F110" s="1">
        <v>1498649.11</v>
      </c>
      <c r="G110" s="1">
        <v>1335543.57</v>
      </c>
    </row>
    <row r="111" spans="1:7" hidden="1" x14ac:dyDescent="0.2">
      <c r="A111">
        <v>40610</v>
      </c>
      <c r="B111" t="s">
        <v>160</v>
      </c>
      <c r="C111">
        <v>4</v>
      </c>
      <c r="D111" s="1">
        <v>987505.15</v>
      </c>
      <c r="E111" s="1">
        <v>993785.15</v>
      </c>
      <c r="F111" s="1">
        <v>1341018.97</v>
      </c>
      <c r="G111" s="1">
        <v>640271.32999999996</v>
      </c>
    </row>
    <row r="112" spans="1:7" hidden="1" x14ac:dyDescent="0.2">
      <c r="A112">
        <v>40615</v>
      </c>
      <c r="B112" t="s">
        <v>161</v>
      </c>
      <c r="C112">
        <v>5</v>
      </c>
      <c r="D112" s="1">
        <v>14244</v>
      </c>
      <c r="E112" s="1">
        <v>475665</v>
      </c>
      <c r="F112" s="1">
        <v>476681</v>
      </c>
      <c r="G112" s="1">
        <v>13228</v>
      </c>
    </row>
    <row r="113" spans="1:7" hidden="1" x14ac:dyDescent="0.2">
      <c r="A113">
        <v>40620</v>
      </c>
      <c r="B113" t="s">
        <v>162</v>
      </c>
      <c r="C113">
        <v>5</v>
      </c>
      <c r="D113" s="1">
        <v>29698.65</v>
      </c>
      <c r="E113" s="1">
        <v>42102.080000000002</v>
      </c>
      <c r="F113" s="1">
        <v>42379.09</v>
      </c>
      <c r="G113" s="1">
        <v>29421.64</v>
      </c>
    </row>
    <row r="114" spans="1:7" hidden="1" x14ac:dyDescent="0.2">
      <c r="A114">
        <v>40625</v>
      </c>
      <c r="B114" t="s">
        <v>163</v>
      </c>
      <c r="C114">
        <v>5</v>
      </c>
      <c r="D114" s="1">
        <v>59436.28</v>
      </c>
      <c r="E114" s="1">
        <v>50154.67</v>
      </c>
      <c r="F114" s="1">
        <v>24873.49</v>
      </c>
      <c r="G114" s="1">
        <v>84717.46</v>
      </c>
    </row>
    <row r="115" spans="1:7" hidden="1" x14ac:dyDescent="0.2">
      <c r="A115">
        <v>40630</v>
      </c>
      <c r="B115" t="s">
        <v>164</v>
      </c>
      <c r="C115">
        <v>5</v>
      </c>
      <c r="D115" s="1">
        <v>4506.5200000000004</v>
      </c>
      <c r="E115" s="1">
        <v>24675.06</v>
      </c>
      <c r="F115" s="1">
        <v>23906.21</v>
      </c>
      <c r="G115" s="1">
        <v>5275.37</v>
      </c>
    </row>
    <row r="116" spans="1:7" hidden="1" x14ac:dyDescent="0.2">
      <c r="A116">
        <v>40635</v>
      </c>
      <c r="B116" t="s">
        <v>165</v>
      </c>
      <c r="C116">
        <v>5</v>
      </c>
      <c r="D116" s="1">
        <v>8224.84</v>
      </c>
      <c r="E116" s="1">
        <v>4543.87</v>
      </c>
      <c r="F116" s="1">
        <v>4581.53</v>
      </c>
      <c r="G116" s="1">
        <v>8187.18</v>
      </c>
    </row>
    <row r="117" spans="1:7" hidden="1" x14ac:dyDescent="0.2">
      <c r="A117">
        <v>40640</v>
      </c>
      <c r="B117" t="s">
        <v>166</v>
      </c>
      <c r="C117">
        <v>5</v>
      </c>
      <c r="D117" s="1">
        <v>51894.879999999997</v>
      </c>
      <c r="E117" s="1">
        <v>0</v>
      </c>
      <c r="F117" s="1">
        <v>0</v>
      </c>
      <c r="G117" s="1">
        <v>51894.879999999997</v>
      </c>
    </row>
    <row r="118" spans="1:7" hidden="1" x14ac:dyDescent="0.2">
      <c r="A118">
        <v>40642</v>
      </c>
      <c r="B118" t="s">
        <v>167</v>
      </c>
      <c r="C118">
        <v>5</v>
      </c>
      <c r="D118" s="1">
        <v>449839.86</v>
      </c>
      <c r="E118" s="1">
        <v>142360.19</v>
      </c>
      <c r="F118" s="1">
        <v>149745.37</v>
      </c>
      <c r="G118" s="1">
        <v>442454.68</v>
      </c>
    </row>
    <row r="119" spans="1:7" hidden="1" x14ac:dyDescent="0.2">
      <c r="A119">
        <v>40645</v>
      </c>
      <c r="B119" t="s">
        <v>168</v>
      </c>
      <c r="C119">
        <v>5</v>
      </c>
      <c r="D119" s="1">
        <v>-43062.51</v>
      </c>
      <c r="E119" s="1">
        <v>136273.35</v>
      </c>
      <c r="F119" s="1">
        <v>87311.54</v>
      </c>
      <c r="G119" s="1">
        <v>5899.3</v>
      </c>
    </row>
    <row r="120" spans="1:7" hidden="1" x14ac:dyDescent="0.2">
      <c r="A120">
        <v>40650</v>
      </c>
      <c r="B120" t="s">
        <v>806</v>
      </c>
      <c r="C120">
        <v>5</v>
      </c>
      <c r="D120" s="1">
        <v>926.82</v>
      </c>
      <c r="E120" s="1">
        <v>0</v>
      </c>
      <c r="F120" s="1">
        <v>0</v>
      </c>
      <c r="G120" s="1">
        <v>926.82</v>
      </c>
    </row>
    <row r="121" spans="1:7" hidden="1" x14ac:dyDescent="0.2">
      <c r="A121">
        <v>40670</v>
      </c>
      <c r="B121" t="s">
        <v>169</v>
      </c>
      <c r="C121">
        <v>5</v>
      </c>
      <c r="D121" s="1">
        <v>413055.81</v>
      </c>
      <c r="E121" s="1">
        <v>118010.93</v>
      </c>
      <c r="F121" s="1">
        <v>531066.74</v>
      </c>
      <c r="G121" s="1">
        <v>0</v>
      </c>
    </row>
    <row r="122" spans="1:7" hidden="1" x14ac:dyDescent="0.2">
      <c r="A122">
        <v>40679</v>
      </c>
      <c r="B122" t="s">
        <v>865</v>
      </c>
      <c r="C122">
        <v>5</v>
      </c>
      <c r="D122" s="1">
        <v>-1260</v>
      </c>
      <c r="E122" s="1">
        <v>0</v>
      </c>
      <c r="F122" s="1">
        <v>474</v>
      </c>
      <c r="G122" s="1">
        <v>-1734</v>
      </c>
    </row>
    <row r="123" spans="1:7" hidden="1" x14ac:dyDescent="0.2">
      <c r="A123">
        <v>41650</v>
      </c>
      <c r="B123" t="s">
        <v>170</v>
      </c>
      <c r="C123">
        <v>4</v>
      </c>
      <c r="D123" s="1">
        <v>110750.79</v>
      </c>
      <c r="E123" s="1">
        <v>121</v>
      </c>
      <c r="F123" s="1">
        <v>0</v>
      </c>
      <c r="G123" s="1">
        <v>110871.79</v>
      </c>
    </row>
    <row r="124" spans="1:7" hidden="1" x14ac:dyDescent="0.2">
      <c r="A124">
        <v>41680</v>
      </c>
      <c r="B124" t="s">
        <v>171</v>
      </c>
      <c r="C124">
        <v>4</v>
      </c>
      <c r="D124" s="1">
        <v>410495.16</v>
      </c>
      <c r="E124" s="1">
        <v>154282.29999999999</v>
      </c>
      <c r="F124" s="1">
        <v>34436.67</v>
      </c>
      <c r="G124" s="1">
        <v>530340.79</v>
      </c>
    </row>
    <row r="125" spans="1:7" hidden="1" x14ac:dyDescent="0.2">
      <c r="A125">
        <v>47820</v>
      </c>
      <c r="B125" t="s">
        <v>172</v>
      </c>
      <c r="C125">
        <v>4</v>
      </c>
      <c r="D125" s="1">
        <v>29957.27</v>
      </c>
      <c r="E125" s="1">
        <v>147295.85999999999</v>
      </c>
      <c r="F125" s="1">
        <v>123193.47</v>
      </c>
      <c r="G125" s="1">
        <v>54059.66</v>
      </c>
    </row>
    <row r="126" spans="1:7" hidden="1" x14ac:dyDescent="0.2">
      <c r="A126">
        <v>50500</v>
      </c>
      <c r="B126" t="s">
        <v>173</v>
      </c>
      <c r="C126">
        <v>3</v>
      </c>
      <c r="D126" s="1">
        <v>458645.96</v>
      </c>
      <c r="E126" s="1">
        <v>76590.81</v>
      </c>
      <c r="F126" s="1">
        <v>385002.01</v>
      </c>
      <c r="G126" s="1">
        <v>150234.76</v>
      </c>
    </row>
    <row r="127" spans="1:7" hidden="1" x14ac:dyDescent="0.2">
      <c r="A127">
        <v>50830</v>
      </c>
      <c r="B127" t="s">
        <v>174</v>
      </c>
      <c r="C127">
        <v>4</v>
      </c>
      <c r="D127" s="1">
        <v>9415.89</v>
      </c>
      <c r="E127" s="1">
        <v>43683.46</v>
      </c>
      <c r="F127" s="1">
        <v>3592.38</v>
      </c>
      <c r="G127" s="1">
        <v>49506.97</v>
      </c>
    </row>
    <row r="128" spans="1:7" hidden="1" x14ac:dyDescent="0.2">
      <c r="A128">
        <v>50835</v>
      </c>
      <c r="B128" t="s">
        <v>175</v>
      </c>
      <c r="C128">
        <v>4</v>
      </c>
      <c r="D128" s="1">
        <v>21250.62</v>
      </c>
      <c r="E128" s="1">
        <v>851.2</v>
      </c>
      <c r="F128" s="1">
        <v>4344.3100000000004</v>
      </c>
      <c r="G128" s="1">
        <v>17757.509999999998</v>
      </c>
    </row>
    <row r="129" spans="1:7" hidden="1" x14ac:dyDescent="0.2">
      <c r="A129">
        <v>50840</v>
      </c>
      <c r="B129" t="s">
        <v>176</v>
      </c>
      <c r="C129">
        <v>4</v>
      </c>
      <c r="D129" s="1">
        <v>19142.73</v>
      </c>
      <c r="E129" s="1">
        <v>32056.15</v>
      </c>
      <c r="F129" s="1">
        <v>34701.19</v>
      </c>
      <c r="G129" s="1">
        <v>16497.689999999999</v>
      </c>
    </row>
    <row r="130" spans="1:7" hidden="1" x14ac:dyDescent="0.2">
      <c r="A130">
        <v>50860</v>
      </c>
      <c r="B130" t="s">
        <v>177</v>
      </c>
      <c r="C130">
        <v>4</v>
      </c>
      <c r="D130" s="1">
        <v>74542.58</v>
      </c>
      <c r="E130" s="1">
        <v>0</v>
      </c>
      <c r="F130" s="1">
        <v>8069.99</v>
      </c>
      <c r="G130" s="1">
        <v>66472.59</v>
      </c>
    </row>
    <row r="131" spans="1:7" hidden="1" x14ac:dyDescent="0.2">
      <c r="A131">
        <v>50865</v>
      </c>
      <c r="B131" t="s">
        <v>178</v>
      </c>
      <c r="C131">
        <v>4</v>
      </c>
      <c r="D131" s="1">
        <v>334294.14</v>
      </c>
      <c r="E131" s="1">
        <v>0</v>
      </c>
      <c r="F131" s="1">
        <v>334294.14</v>
      </c>
      <c r="G131" s="1">
        <v>0</v>
      </c>
    </row>
    <row r="132" spans="1:7" hidden="1" x14ac:dyDescent="0.2">
      <c r="A132">
        <v>51500</v>
      </c>
      <c r="B132" t="s">
        <v>179</v>
      </c>
      <c r="C132">
        <v>2</v>
      </c>
      <c r="D132" s="1">
        <v>37562705.210000001</v>
      </c>
      <c r="E132" s="1">
        <v>728630.89</v>
      </c>
      <c r="F132" s="1">
        <v>1488929.14</v>
      </c>
      <c r="G132" s="1">
        <v>36802406.960000001</v>
      </c>
    </row>
    <row r="133" spans="1:7" hidden="1" x14ac:dyDescent="0.2">
      <c r="A133">
        <v>51865</v>
      </c>
      <c r="B133" t="s">
        <v>180</v>
      </c>
      <c r="C133">
        <v>3</v>
      </c>
      <c r="D133" s="1">
        <v>4346316.3099999996</v>
      </c>
      <c r="E133" s="1">
        <v>72834.63</v>
      </c>
      <c r="F133" s="1">
        <v>10615.65</v>
      </c>
      <c r="G133" s="1">
        <v>4408535.29</v>
      </c>
    </row>
    <row r="134" spans="1:7" hidden="1" x14ac:dyDescent="0.2">
      <c r="A134">
        <v>60000</v>
      </c>
      <c r="B134" t="s">
        <v>181</v>
      </c>
      <c r="C134">
        <v>4</v>
      </c>
      <c r="D134" s="1">
        <v>1965725.99</v>
      </c>
      <c r="E134" s="1">
        <v>18689.66</v>
      </c>
      <c r="F134" s="1">
        <v>0</v>
      </c>
      <c r="G134" s="1">
        <v>1984415.65</v>
      </c>
    </row>
    <row r="135" spans="1:7" hidden="1" x14ac:dyDescent="0.2">
      <c r="A135">
        <v>60010</v>
      </c>
      <c r="B135" t="s">
        <v>182</v>
      </c>
      <c r="C135">
        <v>5</v>
      </c>
      <c r="D135" s="1">
        <v>81072.62</v>
      </c>
      <c r="E135" s="1">
        <v>129.72</v>
      </c>
      <c r="F135" s="1">
        <v>0</v>
      </c>
      <c r="G135" s="1">
        <v>81202.34</v>
      </c>
    </row>
    <row r="136" spans="1:7" hidden="1" x14ac:dyDescent="0.2">
      <c r="A136">
        <v>60011</v>
      </c>
      <c r="B136" t="s">
        <v>183</v>
      </c>
      <c r="C136">
        <v>5</v>
      </c>
      <c r="D136" s="1">
        <v>465464.48</v>
      </c>
      <c r="E136" s="1">
        <v>745.93</v>
      </c>
      <c r="F136" s="1">
        <v>0</v>
      </c>
      <c r="G136" s="1">
        <v>466210.41</v>
      </c>
    </row>
    <row r="137" spans="1:7" hidden="1" x14ac:dyDescent="0.2">
      <c r="A137">
        <v>60015</v>
      </c>
      <c r="B137" t="s">
        <v>184</v>
      </c>
      <c r="C137">
        <v>5</v>
      </c>
      <c r="D137" s="1">
        <v>90832.61</v>
      </c>
      <c r="E137" s="1">
        <v>145.33000000000001</v>
      </c>
      <c r="F137" s="1">
        <v>0</v>
      </c>
      <c r="G137" s="1">
        <v>90977.94</v>
      </c>
    </row>
    <row r="138" spans="1:7" hidden="1" x14ac:dyDescent="0.2">
      <c r="A138">
        <v>60025</v>
      </c>
      <c r="B138" t="s">
        <v>185</v>
      </c>
      <c r="C138">
        <v>5</v>
      </c>
      <c r="D138" s="1">
        <v>14867.27</v>
      </c>
      <c r="E138" s="1">
        <v>120.42</v>
      </c>
      <c r="F138" s="1">
        <v>0</v>
      </c>
      <c r="G138" s="1">
        <v>14987.69</v>
      </c>
    </row>
    <row r="139" spans="1:7" hidden="1" x14ac:dyDescent="0.2">
      <c r="A139">
        <v>60040</v>
      </c>
      <c r="B139" t="s">
        <v>186</v>
      </c>
      <c r="C139">
        <v>5</v>
      </c>
      <c r="D139" s="1">
        <v>791119.83</v>
      </c>
      <c r="E139" s="1">
        <v>16712.47</v>
      </c>
      <c r="F139" s="1">
        <v>0</v>
      </c>
      <c r="G139" s="1">
        <v>807832.3</v>
      </c>
    </row>
    <row r="140" spans="1:7" hidden="1" x14ac:dyDescent="0.2">
      <c r="A140">
        <v>60055</v>
      </c>
      <c r="B140" t="s">
        <v>787</v>
      </c>
      <c r="C140">
        <v>5</v>
      </c>
      <c r="D140" s="1">
        <v>522369.18</v>
      </c>
      <c r="E140" s="1">
        <v>835.79</v>
      </c>
      <c r="F140" s="1">
        <v>0</v>
      </c>
      <c r="G140" s="1">
        <v>523204.97</v>
      </c>
    </row>
    <row r="141" spans="1:7" hidden="1" x14ac:dyDescent="0.2">
      <c r="A141">
        <v>61000</v>
      </c>
      <c r="B141" t="s">
        <v>187</v>
      </c>
      <c r="C141">
        <v>4</v>
      </c>
      <c r="D141" s="1">
        <v>2312.88</v>
      </c>
      <c r="E141" s="1">
        <v>0</v>
      </c>
      <c r="F141" s="1">
        <v>0</v>
      </c>
      <c r="G141" s="1">
        <v>2312.88</v>
      </c>
    </row>
    <row r="142" spans="1:7" hidden="1" x14ac:dyDescent="0.2">
      <c r="A142">
        <v>61010</v>
      </c>
      <c r="B142" t="s">
        <v>188</v>
      </c>
      <c r="C142">
        <v>5</v>
      </c>
      <c r="D142" s="1">
        <v>46257.49</v>
      </c>
      <c r="E142" s="1">
        <v>0</v>
      </c>
      <c r="F142" s="1">
        <v>0</v>
      </c>
      <c r="G142" s="1">
        <v>46257.49</v>
      </c>
    </row>
    <row r="143" spans="1:7" hidden="1" x14ac:dyDescent="0.2">
      <c r="A143">
        <v>61100</v>
      </c>
      <c r="B143" t="s">
        <v>189</v>
      </c>
      <c r="C143">
        <v>5</v>
      </c>
      <c r="D143" s="1">
        <v>-43944.61</v>
      </c>
      <c r="E143" s="1">
        <v>0</v>
      </c>
      <c r="F143" s="1">
        <v>0</v>
      </c>
      <c r="G143" s="1">
        <v>-43944.61</v>
      </c>
    </row>
    <row r="144" spans="1:7" hidden="1" x14ac:dyDescent="0.2">
      <c r="A144">
        <v>80000</v>
      </c>
      <c r="B144" t="s">
        <v>190</v>
      </c>
      <c r="C144">
        <v>4</v>
      </c>
      <c r="D144" s="1">
        <v>2378277.44</v>
      </c>
      <c r="E144" s="1">
        <v>54144.97</v>
      </c>
      <c r="F144" s="1">
        <v>10615.65</v>
      </c>
      <c r="G144" s="1">
        <v>2421806.7599999998</v>
      </c>
    </row>
    <row r="145" spans="1:7" hidden="1" x14ac:dyDescent="0.2">
      <c r="A145">
        <v>80022</v>
      </c>
      <c r="B145" t="s">
        <v>191</v>
      </c>
      <c r="C145">
        <v>5</v>
      </c>
      <c r="D145" s="1">
        <v>173609.45</v>
      </c>
      <c r="E145" s="1">
        <v>868.05</v>
      </c>
      <c r="F145" s="1">
        <v>0</v>
      </c>
      <c r="G145" s="1">
        <v>174477.5</v>
      </c>
    </row>
    <row r="146" spans="1:7" hidden="1" x14ac:dyDescent="0.2">
      <c r="A146">
        <v>80024</v>
      </c>
      <c r="B146" t="s">
        <v>720</v>
      </c>
      <c r="C146">
        <v>5</v>
      </c>
      <c r="D146" s="1">
        <v>10828.84</v>
      </c>
      <c r="E146" s="1">
        <v>10139.790000000001</v>
      </c>
      <c r="F146" s="1">
        <v>0</v>
      </c>
      <c r="G146" s="1">
        <v>20968.63</v>
      </c>
    </row>
    <row r="147" spans="1:7" hidden="1" x14ac:dyDescent="0.2">
      <c r="A147">
        <v>80039</v>
      </c>
      <c r="B147" t="s">
        <v>192</v>
      </c>
      <c r="C147">
        <v>5</v>
      </c>
      <c r="D147" s="1">
        <v>21941.77</v>
      </c>
      <c r="E147" s="1">
        <v>109.71</v>
      </c>
      <c r="F147" s="1">
        <v>0</v>
      </c>
      <c r="G147" s="1">
        <v>22051.48</v>
      </c>
    </row>
    <row r="148" spans="1:7" hidden="1" x14ac:dyDescent="0.2">
      <c r="A148">
        <v>80040</v>
      </c>
      <c r="B148" t="s">
        <v>193</v>
      </c>
      <c r="C148">
        <v>5</v>
      </c>
      <c r="D148" s="1">
        <v>39601.089999999997</v>
      </c>
      <c r="E148" s="1">
        <v>198.01</v>
      </c>
      <c r="F148" s="1">
        <v>0</v>
      </c>
      <c r="G148" s="1">
        <v>39799.1</v>
      </c>
    </row>
    <row r="149" spans="1:7" hidden="1" x14ac:dyDescent="0.2">
      <c r="A149">
        <v>80047</v>
      </c>
      <c r="B149" t="s">
        <v>194</v>
      </c>
      <c r="C149">
        <v>5</v>
      </c>
      <c r="D149" s="1">
        <v>44961.3</v>
      </c>
      <c r="E149" s="1">
        <v>224.81</v>
      </c>
      <c r="F149" s="1">
        <v>0</v>
      </c>
      <c r="G149" s="1">
        <v>45186.11</v>
      </c>
    </row>
    <row r="150" spans="1:7" hidden="1" x14ac:dyDescent="0.2">
      <c r="A150">
        <v>80053</v>
      </c>
      <c r="B150" t="s">
        <v>195</v>
      </c>
      <c r="C150">
        <v>5</v>
      </c>
      <c r="D150" s="1">
        <v>2394.25</v>
      </c>
      <c r="E150" s="1">
        <v>11.97</v>
      </c>
      <c r="F150" s="1">
        <v>0</v>
      </c>
      <c r="G150" s="1">
        <v>2406.2199999999998</v>
      </c>
    </row>
    <row r="151" spans="1:7" hidden="1" x14ac:dyDescent="0.2">
      <c r="A151">
        <v>80055</v>
      </c>
      <c r="B151" t="s">
        <v>196</v>
      </c>
      <c r="C151">
        <v>5</v>
      </c>
      <c r="D151" s="1">
        <v>163831.85999999999</v>
      </c>
      <c r="E151" s="1">
        <v>819.16</v>
      </c>
      <c r="F151" s="1">
        <v>0</v>
      </c>
      <c r="G151" s="1">
        <v>164651.01999999999</v>
      </c>
    </row>
    <row r="152" spans="1:7" hidden="1" x14ac:dyDescent="0.2">
      <c r="A152">
        <v>80056</v>
      </c>
      <c r="B152" t="s">
        <v>197</v>
      </c>
      <c r="C152">
        <v>5</v>
      </c>
      <c r="D152" s="1">
        <v>220021.31</v>
      </c>
      <c r="E152" s="1">
        <v>1100.1099999999999</v>
      </c>
      <c r="F152" s="1">
        <v>0</v>
      </c>
      <c r="G152" s="1">
        <v>221121.42</v>
      </c>
    </row>
    <row r="153" spans="1:7" hidden="1" x14ac:dyDescent="0.2">
      <c r="A153">
        <v>80059</v>
      </c>
      <c r="B153" t="s">
        <v>198</v>
      </c>
      <c r="C153">
        <v>5</v>
      </c>
      <c r="D153" s="1">
        <v>28968.05</v>
      </c>
      <c r="E153" s="1">
        <v>144.84</v>
      </c>
      <c r="F153" s="1">
        <v>0</v>
      </c>
      <c r="G153" s="1">
        <v>29112.89</v>
      </c>
    </row>
    <row r="154" spans="1:7" hidden="1" x14ac:dyDescent="0.2">
      <c r="A154">
        <v>80062</v>
      </c>
      <c r="B154" t="s">
        <v>199</v>
      </c>
      <c r="C154">
        <v>5</v>
      </c>
      <c r="D154" s="1">
        <v>10444.85</v>
      </c>
      <c r="E154" s="1">
        <v>52.22</v>
      </c>
      <c r="F154" s="1">
        <v>0</v>
      </c>
      <c r="G154" s="1">
        <v>10497.07</v>
      </c>
    </row>
    <row r="155" spans="1:7" hidden="1" x14ac:dyDescent="0.2">
      <c r="A155">
        <v>80066</v>
      </c>
      <c r="B155" t="s">
        <v>200</v>
      </c>
      <c r="C155">
        <v>5</v>
      </c>
      <c r="D155" s="1">
        <v>13254.23</v>
      </c>
      <c r="E155" s="1">
        <v>66.27</v>
      </c>
      <c r="F155" s="1">
        <v>0</v>
      </c>
      <c r="G155" s="1">
        <v>13320.5</v>
      </c>
    </row>
    <row r="156" spans="1:7" hidden="1" x14ac:dyDescent="0.2">
      <c r="A156">
        <v>80071</v>
      </c>
      <c r="B156" t="s">
        <v>201</v>
      </c>
      <c r="C156">
        <v>5</v>
      </c>
      <c r="D156" s="1">
        <v>47753.36</v>
      </c>
      <c r="E156" s="1">
        <v>238.77</v>
      </c>
      <c r="F156" s="1">
        <v>0</v>
      </c>
      <c r="G156" s="1">
        <v>47992.13</v>
      </c>
    </row>
    <row r="157" spans="1:7" hidden="1" x14ac:dyDescent="0.2">
      <c r="A157">
        <v>80072</v>
      </c>
      <c r="B157" t="s">
        <v>877</v>
      </c>
      <c r="C157">
        <v>5</v>
      </c>
      <c r="D157" s="1">
        <v>2870.7</v>
      </c>
      <c r="E157" s="1">
        <v>14.35</v>
      </c>
      <c r="F157" s="1">
        <v>0</v>
      </c>
      <c r="G157" s="1">
        <v>2885.05</v>
      </c>
    </row>
    <row r="158" spans="1:7" hidden="1" x14ac:dyDescent="0.2">
      <c r="A158">
        <v>80073</v>
      </c>
      <c r="B158" t="s">
        <v>202</v>
      </c>
      <c r="C158">
        <v>5</v>
      </c>
      <c r="D158" s="1">
        <v>277113.33</v>
      </c>
      <c r="E158" s="1">
        <v>1385.57</v>
      </c>
      <c r="F158" s="1">
        <v>0</v>
      </c>
      <c r="G158" s="1">
        <v>278498.90000000002</v>
      </c>
    </row>
    <row r="159" spans="1:7" hidden="1" x14ac:dyDescent="0.2">
      <c r="A159">
        <v>80074</v>
      </c>
      <c r="B159" t="s">
        <v>203</v>
      </c>
      <c r="C159">
        <v>5</v>
      </c>
      <c r="D159" s="1">
        <v>22782.67</v>
      </c>
      <c r="E159" s="1">
        <v>113.91</v>
      </c>
      <c r="F159" s="1">
        <v>0</v>
      </c>
      <c r="G159" s="1">
        <v>22896.58</v>
      </c>
    </row>
    <row r="160" spans="1:7" hidden="1" x14ac:dyDescent="0.2">
      <c r="A160">
        <v>80075</v>
      </c>
      <c r="B160" t="s">
        <v>204</v>
      </c>
      <c r="C160">
        <v>5</v>
      </c>
      <c r="D160" s="1">
        <v>20370.14</v>
      </c>
      <c r="E160" s="1">
        <v>101.85</v>
      </c>
      <c r="F160" s="1">
        <v>0</v>
      </c>
      <c r="G160" s="1">
        <v>20471.990000000002</v>
      </c>
    </row>
    <row r="161" spans="1:7" hidden="1" x14ac:dyDescent="0.2">
      <c r="A161">
        <v>80076</v>
      </c>
      <c r="B161" t="s">
        <v>205</v>
      </c>
      <c r="C161">
        <v>5</v>
      </c>
      <c r="D161" s="1">
        <v>29096</v>
      </c>
      <c r="E161" s="1">
        <v>145.47999999999999</v>
      </c>
      <c r="F161" s="1">
        <v>0</v>
      </c>
      <c r="G161" s="1">
        <v>29241.48</v>
      </c>
    </row>
    <row r="162" spans="1:7" hidden="1" x14ac:dyDescent="0.2">
      <c r="A162">
        <v>80077</v>
      </c>
      <c r="B162" t="s">
        <v>206</v>
      </c>
      <c r="C162">
        <v>5</v>
      </c>
      <c r="D162" s="1">
        <v>1234.8</v>
      </c>
      <c r="E162" s="1">
        <v>6.17</v>
      </c>
      <c r="F162" s="1">
        <v>0</v>
      </c>
      <c r="G162" s="1">
        <v>1240.97</v>
      </c>
    </row>
    <row r="163" spans="1:7" hidden="1" x14ac:dyDescent="0.2">
      <c r="A163">
        <v>80078</v>
      </c>
      <c r="B163" t="s">
        <v>207</v>
      </c>
      <c r="C163">
        <v>5</v>
      </c>
      <c r="D163" s="1">
        <v>28352.01</v>
      </c>
      <c r="E163" s="1">
        <v>141.76</v>
      </c>
      <c r="F163" s="1">
        <v>0</v>
      </c>
      <c r="G163" s="1">
        <v>28493.77</v>
      </c>
    </row>
    <row r="164" spans="1:7" hidden="1" x14ac:dyDescent="0.2">
      <c r="A164">
        <v>80080</v>
      </c>
      <c r="B164" t="s">
        <v>208</v>
      </c>
      <c r="C164">
        <v>5</v>
      </c>
      <c r="D164" s="1">
        <v>1355.09</v>
      </c>
      <c r="E164" s="1">
        <v>6.78</v>
      </c>
      <c r="F164" s="1">
        <v>0</v>
      </c>
      <c r="G164" s="1">
        <v>1361.87</v>
      </c>
    </row>
    <row r="165" spans="1:7" hidden="1" x14ac:dyDescent="0.2">
      <c r="A165">
        <v>80081</v>
      </c>
      <c r="B165" t="s">
        <v>209</v>
      </c>
      <c r="C165">
        <v>5</v>
      </c>
      <c r="D165" s="1">
        <v>123823.78</v>
      </c>
      <c r="E165" s="1">
        <v>619.12</v>
      </c>
      <c r="F165" s="1">
        <v>0</v>
      </c>
      <c r="G165" s="1">
        <v>124442.9</v>
      </c>
    </row>
    <row r="166" spans="1:7" hidden="1" x14ac:dyDescent="0.2">
      <c r="A166">
        <v>80082</v>
      </c>
      <c r="B166" t="s">
        <v>210</v>
      </c>
      <c r="C166">
        <v>5</v>
      </c>
      <c r="D166" s="1">
        <v>134316.60999999999</v>
      </c>
      <c r="E166" s="1">
        <v>671.58</v>
      </c>
      <c r="F166" s="1">
        <v>0</v>
      </c>
      <c r="G166" s="1">
        <v>134988.19</v>
      </c>
    </row>
    <row r="167" spans="1:7" hidden="1" x14ac:dyDescent="0.2">
      <c r="A167">
        <v>80083</v>
      </c>
      <c r="B167" t="s">
        <v>211</v>
      </c>
      <c r="C167">
        <v>5</v>
      </c>
      <c r="D167" s="1">
        <v>68816.820000000007</v>
      </c>
      <c r="E167" s="1">
        <v>344.08</v>
      </c>
      <c r="F167" s="1">
        <v>0</v>
      </c>
      <c r="G167" s="1">
        <v>69160.899999999994</v>
      </c>
    </row>
    <row r="168" spans="1:7" hidden="1" x14ac:dyDescent="0.2">
      <c r="A168">
        <v>80084</v>
      </c>
      <c r="B168" t="s">
        <v>212</v>
      </c>
      <c r="C168">
        <v>5</v>
      </c>
      <c r="D168" s="1">
        <v>236032.86</v>
      </c>
      <c r="E168" s="1">
        <v>1180.1600000000001</v>
      </c>
      <c r="F168" s="1">
        <v>0</v>
      </c>
      <c r="G168" s="1">
        <v>237213.02</v>
      </c>
    </row>
    <row r="169" spans="1:7" hidden="1" x14ac:dyDescent="0.2">
      <c r="A169">
        <v>80085</v>
      </c>
      <c r="B169" t="s">
        <v>213</v>
      </c>
      <c r="C169">
        <v>5</v>
      </c>
      <c r="D169" s="1">
        <v>42322.6</v>
      </c>
      <c r="E169" s="1">
        <v>211.61</v>
      </c>
      <c r="F169" s="1">
        <v>0</v>
      </c>
      <c r="G169" s="1">
        <v>42534.21</v>
      </c>
    </row>
    <row r="170" spans="1:7" hidden="1" x14ac:dyDescent="0.2">
      <c r="A170">
        <v>80086</v>
      </c>
      <c r="B170" t="s">
        <v>214</v>
      </c>
      <c r="C170">
        <v>5</v>
      </c>
      <c r="D170" s="1">
        <v>10502.31</v>
      </c>
      <c r="E170" s="1">
        <v>52.51</v>
      </c>
      <c r="F170" s="1">
        <v>0</v>
      </c>
      <c r="G170" s="1">
        <v>10554.82</v>
      </c>
    </row>
    <row r="171" spans="1:7" hidden="1" x14ac:dyDescent="0.2">
      <c r="A171">
        <v>80088</v>
      </c>
      <c r="B171" t="s">
        <v>215</v>
      </c>
      <c r="C171">
        <v>5</v>
      </c>
      <c r="D171" s="1">
        <v>55379.11</v>
      </c>
      <c r="E171" s="1">
        <v>276.89999999999998</v>
      </c>
      <c r="F171" s="1">
        <v>0</v>
      </c>
      <c r="G171" s="1">
        <v>55656.01</v>
      </c>
    </row>
    <row r="172" spans="1:7" hidden="1" x14ac:dyDescent="0.2">
      <c r="A172">
        <v>80089</v>
      </c>
      <c r="B172" t="s">
        <v>216</v>
      </c>
      <c r="C172">
        <v>5</v>
      </c>
      <c r="D172" s="1">
        <v>10615.65</v>
      </c>
      <c r="E172" s="1">
        <v>0</v>
      </c>
      <c r="F172" s="1">
        <v>10615.65</v>
      </c>
      <c r="G172" s="1">
        <v>0</v>
      </c>
    </row>
    <row r="173" spans="1:7" hidden="1" x14ac:dyDescent="0.2">
      <c r="A173">
        <v>80090</v>
      </c>
      <c r="B173" t="s">
        <v>217</v>
      </c>
      <c r="C173">
        <v>5</v>
      </c>
      <c r="D173" s="1">
        <v>27246.69</v>
      </c>
      <c r="E173" s="1">
        <v>136.22999999999999</v>
      </c>
      <c r="F173" s="1">
        <v>0</v>
      </c>
      <c r="G173" s="1">
        <v>27382.92</v>
      </c>
    </row>
    <row r="174" spans="1:7" hidden="1" x14ac:dyDescent="0.2">
      <c r="A174">
        <v>80091</v>
      </c>
      <c r="B174" t="s">
        <v>218</v>
      </c>
      <c r="C174">
        <v>5</v>
      </c>
      <c r="D174" s="1">
        <v>10406.469999999999</v>
      </c>
      <c r="E174" s="1">
        <v>52.03</v>
      </c>
      <c r="F174" s="1">
        <v>0</v>
      </c>
      <c r="G174" s="1">
        <v>10458.5</v>
      </c>
    </row>
    <row r="175" spans="1:7" hidden="1" x14ac:dyDescent="0.2">
      <c r="A175">
        <v>80092</v>
      </c>
      <c r="B175" t="s">
        <v>721</v>
      </c>
      <c r="C175">
        <v>5</v>
      </c>
      <c r="D175" s="1">
        <v>253505.51</v>
      </c>
      <c r="E175" s="1">
        <v>1267.53</v>
      </c>
      <c r="F175" s="1">
        <v>0</v>
      </c>
      <c r="G175" s="1">
        <v>254773.04</v>
      </c>
    </row>
    <row r="176" spans="1:7" hidden="1" x14ac:dyDescent="0.2">
      <c r="A176">
        <v>80093</v>
      </c>
      <c r="B176" t="s">
        <v>753</v>
      </c>
      <c r="C176">
        <v>5</v>
      </c>
      <c r="D176" s="1">
        <v>80637.13</v>
      </c>
      <c r="E176" s="1">
        <v>403.19</v>
      </c>
      <c r="F176" s="1">
        <v>0</v>
      </c>
      <c r="G176" s="1">
        <v>81040.320000000007</v>
      </c>
    </row>
    <row r="177" spans="1:7" hidden="1" x14ac:dyDescent="0.2">
      <c r="A177">
        <v>80094</v>
      </c>
      <c r="B177" t="s">
        <v>807</v>
      </c>
      <c r="C177">
        <v>5</v>
      </c>
      <c r="D177" s="1">
        <v>34287.760000000002</v>
      </c>
      <c r="E177" s="1">
        <v>11237.39</v>
      </c>
      <c r="F177" s="1">
        <v>0</v>
      </c>
      <c r="G177" s="1">
        <v>45525.15</v>
      </c>
    </row>
    <row r="178" spans="1:7" hidden="1" x14ac:dyDescent="0.2">
      <c r="A178">
        <v>80095</v>
      </c>
      <c r="B178" t="s">
        <v>808</v>
      </c>
      <c r="C178">
        <v>5</v>
      </c>
      <c r="D178" s="1">
        <v>10331.129999999999</v>
      </c>
      <c r="E178" s="1">
        <v>51.66</v>
      </c>
      <c r="F178" s="1">
        <v>0</v>
      </c>
      <c r="G178" s="1">
        <v>10382.790000000001</v>
      </c>
    </row>
    <row r="179" spans="1:7" hidden="1" x14ac:dyDescent="0.2">
      <c r="A179">
        <v>80096</v>
      </c>
      <c r="B179" t="s">
        <v>870</v>
      </c>
      <c r="C179">
        <v>5</v>
      </c>
      <c r="D179" s="1">
        <v>10077.719999999999</v>
      </c>
      <c r="E179" s="1">
        <v>50.39</v>
      </c>
      <c r="F179" s="1">
        <v>0</v>
      </c>
      <c r="G179" s="1">
        <v>10128.11</v>
      </c>
    </row>
    <row r="180" spans="1:7" hidden="1" x14ac:dyDescent="0.2">
      <c r="A180">
        <v>80097</v>
      </c>
      <c r="B180" t="s">
        <v>878</v>
      </c>
      <c r="C180">
        <v>5</v>
      </c>
      <c r="D180" s="1">
        <v>83625.899999999994</v>
      </c>
      <c r="E180" s="1">
        <v>11514.04</v>
      </c>
      <c r="F180" s="1">
        <v>0</v>
      </c>
      <c r="G180" s="1">
        <v>95139.94</v>
      </c>
    </row>
    <row r="181" spans="1:7" hidden="1" x14ac:dyDescent="0.2">
      <c r="A181">
        <v>80098</v>
      </c>
      <c r="B181" t="s">
        <v>934</v>
      </c>
      <c r="C181">
        <v>5</v>
      </c>
      <c r="D181" s="1">
        <v>20564.29</v>
      </c>
      <c r="E181" s="1">
        <v>102.82</v>
      </c>
      <c r="F181" s="1">
        <v>0</v>
      </c>
      <c r="G181" s="1">
        <v>20667.11</v>
      </c>
    </row>
    <row r="182" spans="1:7" hidden="1" x14ac:dyDescent="0.2">
      <c r="A182">
        <v>80099</v>
      </c>
      <c r="B182" t="s">
        <v>1114</v>
      </c>
      <c r="C182">
        <v>5</v>
      </c>
      <c r="D182" s="1">
        <v>5000</v>
      </c>
      <c r="E182" s="1">
        <v>25</v>
      </c>
      <c r="F182" s="1">
        <v>0</v>
      </c>
      <c r="G182" s="1">
        <v>5025</v>
      </c>
    </row>
    <row r="183" spans="1:7" hidden="1" x14ac:dyDescent="0.2">
      <c r="A183">
        <v>80100</v>
      </c>
      <c r="B183" t="s">
        <v>1241</v>
      </c>
      <c r="C183">
        <v>5</v>
      </c>
      <c r="D183" s="1">
        <v>0</v>
      </c>
      <c r="E183" s="1">
        <v>10059.15</v>
      </c>
      <c r="F183" s="1">
        <v>0</v>
      </c>
      <c r="G183" s="1">
        <v>10059.15</v>
      </c>
    </row>
    <row r="184" spans="1:7" hidden="1" x14ac:dyDescent="0.2">
      <c r="A184">
        <v>101000</v>
      </c>
      <c r="B184" t="s">
        <v>219</v>
      </c>
      <c r="C184">
        <v>3</v>
      </c>
      <c r="D184" s="1">
        <v>584464.94999999995</v>
      </c>
      <c r="E184" s="1">
        <v>34839.01</v>
      </c>
      <c r="F184" s="1">
        <v>9129.27</v>
      </c>
      <c r="G184" s="1">
        <v>610174.68999999994</v>
      </c>
    </row>
    <row r="185" spans="1:7" hidden="1" x14ac:dyDescent="0.2">
      <c r="A185">
        <v>105000</v>
      </c>
      <c r="B185" t="s">
        <v>220</v>
      </c>
      <c r="C185">
        <v>4</v>
      </c>
      <c r="D185" s="1">
        <v>584464.94999999995</v>
      </c>
      <c r="E185" s="1">
        <v>34839.01</v>
      </c>
      <c r="F185" s="1">
        <v>9129.27</v>
      </c>
      <c r="G185" s="1">
        <v>610174.68999999994</v>
      </c>
    </row>
    <row r="186" spans="1:7" hidden="1" x14ac:dyDescent="0.2">
      <c r="A186">
        <v>105040</v>
      </c>
      <c r="B186" t="s">
        <v>221</v>
      </c>
      <c r="C186">
        <v>5</v>
      </c>
      <c r="D186" s="1">
        <v>367258.28</v>
      </c>
      <c r="E186" s="1">
        <v>34839.01</v>
      </c>
      <c r="F186" s="1">
        <v>0</v>
      </c>
      <c r="G186" s="1">
        <v>402097.29</v>
      </c>
    </row>
    <row r="187" spans="1:7" hidden="1" x14ac:dyDescent="0.2">
      <c r="A187">
        <v>105050</v>
      </c>
      <c r="B187" t="s">
        <v>222</v>
      </c>
      <c r="C187">
        <v>5</v>
      </c>
      <c r="D187" s="1">
        <v>217206.67</v>
      </c>
      <c r="E187" s="1">
        <v>0</v>
      </c>
      <c r="F187" s="1">
        <v>9129.27</v>
      </c>
      <c r="G187" s="1">
        <v>208077.4</v>
      </c>
    </row>
    <row r="188" spans="1:7" x14ac:dyDescent="0.2">
      <c r="A188" s="77">
        <v>112000</v>
      </c>
      <c r="B188" s="77" t="s">
        <v>223</v>
      </c>
      <c r="C188" s="77">
        <v>3</v>
      </c>
      <c r="D188" s="142">
        <v>32573786.18</v>
      </c>
      <c r="E188" s="142">
        <v>610316.64</v>
      </c>
      <c r="F188" s="142">
        <v>1458993.1</v>
      </c>
      <c r="G188" s="154">
        <v>31725109.719999999</v>
      </c>
    </row>
    <row r="189" spans="1:7" x14ac:dyDescent="0.2">
      <c r="A189" s="77">
        <v>115800</v>
      </c>
      <c r="B189" s="77" t="s">
        <v>224</v>
      </c>
      <c r="C189" s="77">
        <v>4</v>
      </c>
      <c r="D189" s="142">
        <v>31211529.670000002</v>
      </c>
      <c r="E189" s="142">
        <v>610316.64</v>
      </c>
      <c r="F189" s="142">
        <v>1458993.1</v>
      </c>
      <c r="G189" s="142">
        <v>30362853.210000001</v>
      </c>
    </row>
    <row r="190" spans="1:7" x14ac:dyDescent="0.2">
      <c r="A190" s="77">
        <v>116075</v>
      </c>
      <c r="B190" s="77" t="s">
        <v>225</v>
      </c>
      <c r="C190" s="77">
        <v>5</v>
      </c>
      <c r="D190" s="142">
        <v>82536394</v>
      </c>
      <c r="E190" s="142">
        <v>330040.28999999998</v>
      </c>
      <c r="F190" s="142">
        <v>31817.51</v>
      </c>
      <c r="G190" s="142">
        <v>82834616.780000001</v>
      </c>
    </row>
    <row r="191" spans="1:7" x14ac:dyDescent="0.2">
      <c r="A191" s="77">
        <v>116085</v>
      </c>
      <c r="B191" s="77" t="s">
        <v>226</v>
      </c>
      <c r="C191" s="77">
        <v>6</v>
      </c>
      <c r="D191" s="142">
        <v>41779371.770000003</v>
      </c>
      <c r="E191" s="142">
        <v>0</v>
      </c>
      <c r="F191" s="142">
        <v>0</v>
      </c>
      <c r="G191" s="142">
        <v>41779371.770000003</v>
      </c>
    </row>
    <row r="192" spans="1:7" x14ac:dyDescent="0.2">
      <c r="A192" s="77">
        <v>116090</v>
      </c>
      <c r="B192" s="77" t="s">
        <v>227</v>
      </c>
      <c r="C192" s="77">
        <v>6</v>
      </c>
      <c r="D192" s="142">
        <v>40900896.490000002</v>
      </c>
      <c r="E192" s="142">
        <v>301881.90000000002</v>
      </c>
      <c r="F192" s="142">
        <v>0</v>
      </c>
      <c r="G192" s="142">
        <v>41202778.390000001</v>
      </c>
    </row>
    <row r="193" spans="1:7" x14ac:dyDescent="0.2">
      <c r="A193" s="77">
        <v>116095</v>
      </c>
      <c r="B193" s="77" t="s">
        <v>228</v>
      </c>
      <c r="C193" s="77">
        <v>6</v>
      </c>
      <c r="D193" s="142">
        <v>653404.86</v>
      </c>
      <c r="E193" s="142">
        <v>0</v>
      </c>
      <c r="F193" s="142">
        <v>0</v>
      </c>
      <c r="G193" s="142">
        <v>653404.86</v>
      </c>
    </row>
    <row r="194" spans="1:7" x14ac:dyDescent="0.2">
      <c r="A194" s="77">
        <v>116097</v>
      </c>
      <c r="B194" s="77" t="s">
        <v>229</v>
      </c>
      <c r="C194" s="77">
        <v>6</v>
      </c>
      <c r="D194" s="142">
        <v>-797279.12</v>
      </c>
      <c r="E194" s="142">
        <v>28158.39</v>
      </c>
      <c r="F194" s="142">
        <v>31817.51</v>
      </c>
      <c r="G194" s="142">
        <v>-800938.24</v>
      </c>
    </row>
    <row r="195" spans="1:7" x14ac:dyDescent="0.2">
      <c r="A195" s="77">
        <v>118100</v>
      </c>
      <c r="B195" s="77" t="s">
        <v>230</v>
      </c>
      <c r="C195" s="77">
        <v>5</v>
      </c>
      <c r="D195" s="142">
        <v>5974669.0899999999</v>
      </c>
      <c r="E195" s="142">
        <v>52153.43</v>
      </c>
      <c r="F195" s="142">
        <v>29963.75</v>
      </c>
      <c r="G195" s="142">
        <v>5996858.7699999996</v>
      </c>
    </row>
    <row r="196" spans="1:7" x14ac:dyDescent="0.2">
      <c r="A196" s="77">
        <v>118110</v>
      </c>
      <c r="B196" s="77" t="s">
        <v>231</v>
      </c>
      <c r="C196" s="77">
        <v>6</v>
      </c>
      <c r="D196" s="142">
        <v>3998310.54</v>
      </c>
      <c r="E196" s="142">
        <v>8125.25</v>
      </c>
      <c r="F196" s="142">
        <v>0</v>
      </c>
      <c r="G196" s="142">
        <v>4006435.79</v>
      </c>
    </row>
    <row r="197" spans="1:7" x14ac:dyDescent="0.2">
      <c r="A197" s="77">
        <v>118115</v>
      </c>
      <c r="B197" s="77" t="s">
        <v>232</v>
      </c>
      <c r="C197" s="77">
        <v>6</v>
      </c>
      <c r="D197" s="142">
        <v>110287.43</v>
      </c>
      <c r="E197" s="142">
        <v>0</v>
      </c>
      <c r="F197" s="142">
        <v>0</v>
      </c>
      <c r="G197" s="142">
        <v>110287.43</v>
      </c>
    </row>
    <row r="198" spans="1:7" x14ac:dyDescent="0.2">
      <c r="A198" s="77">
        <v>118120</v>
      </c>
      <c r="B198" s="77" t="s">
        <v>233</v>
      </c>
      <c r="C198" s="77">
        <v>6</v>
      </c>
      <c r="D198" s="142">
        <v>-113648.32000000001</v>
      </c>
      <c r="E198" s="142">
        <v>479.59</v>
      </c>
      <c r="F198" s="142">
        <v>479.57</v>
      </c>
      <c r="G198" s="142">
        <v>-113648.3</v>
      </c>
    </row>
    <row r="199" spans="1:7" x14ac:dyDescent="0.2">
      <c r="A199" s="77">
        <v>118135</v>
      </c>
      <c r="B199" s="77" t="s">
        <v>234</v>
      </c>
      <c r="C199" s="77">
        <v>6</v>
      </c>
      <c r="D199" s="142">
        <v>1774924.34</v>
      </c>
      <c r="E199" s="142">
        <v>29231</v>
      </c>
      <c r="F199" s="142">
        <v>0</v>
      </c>
      <c r="G199" s="142">
        <v>1804155.34</v>
      </c>
    </row>
    <row r="200" spans="1:7" x14ac:dyDescent="0.2">
      <c r="A200" s="77">
        <v>118140</v>
      </c>
      <c r="B200" s="77" t="s">
        <v>235</v>
      </c>
      <c r="C200" s="77">
        <v>6</v>
      </c>
      <c r="D200" s="142">
        <v>249438.86</v>
      </c>
      <c r="E200" s="142">
        <v>0</v>
      </c>
      <c r="F200" s="142">
        <v>0</v>
      </c>
      <c r="G200" s="142">
        <v>249438.86</v>
      </c>
    </row>
    <row r="201" spans="1:7" x14ac:dyDescent="0.2">
      <c r="A201" s="77">
        <v>118150</v>
      </c>
      <c r="B201" s="77" t="s">
        <v>236</v>
      </c>
      <c r="C201" s="77">
        <v>6</v>
      </c>
      <c r="D201" s="142">
        <v>345315.51</v>
      </c>
      <c r="E201" s="142">
        <v>0</v>
      </c>
      <c r="F201" s="142">
        <v>0</v>
      </c>
      <c r="G201" s="142">
        <v>345315.51</v>
      </c>
    </row>
    <row r="202" spans="1:7" x14ac:dyDescent="0.2">
      <c r="A202" s="77">
        <v>118155</v>
      </c>
      <c r="B202" s="77" t="s">
        <v>237</v>
      </c>
      <c r="C202" s="77">
        <v>6</v>
      </c>
      <c r="D202" s="142">
        <v>-389959.27</v>
      </c>
      <c r="E202" s="142">
        <v>14317.59</v>
      </c>
      <c r="F202" s="142">
        <v>29484.18</v>
      </c>
      <c r="G202" s="142">
        <v>-405125.86</v>
      </c>
    </row>
    <row r="203" spans="1:7" x14ac:dyDescent="0.2">
      <c r="A203" s="77">
        <v>119145</v>
      </c>
      <c r="B203" s="77" t="s">
        <v>238</v>
      </c>
      <c r="C203" s="77">
        <v>5</v>
      </c>
      <c r="D203" s="142">
        <v>12121096.140000001</v>
      </c>
      <c r="E203" s="142">
        <v>98645</v>
      </c>
      <c r="F203" s="142">
        <v>25584.43</v>
      </c>
      <c r="G203" s="142">
        <v>12194156.710000001</v>
      </c>
    </row>
    <row r="204" spans="1:7" x14ac:dyDescent="0.2">
      <c r="A204" s="77">
        <v>119155</v>
      </c>
      <c r="B204" s="77" t="s">
        <v>51</v>
      </c>
      <c r="C204" s="77">
        <v>6</v>
      </c>
      <c r="D204" s="142">
        <v>12186636.960000001</v>
      </c>
      <c r="E204" s="142">
        <v>74348.63</v>
      </c>
      <c r="F204" s="142">
        <v>0</v>
      </c>
      <c r="G204" s="142">
        <v>12260985.59</v>
      </c>
    </row>
    <row r="205" spans="1:7" x14ac:dyDescent="0.2">
      <c r="A205" s="77">
        <v>119160</v>
      </c>
      <c r="B205" s="77" t="s">
        <v>239</v>
      </c>
      <c r="C205" s="77">
        <v>6</v>
      </c>
      <c r="D205" s="142">
        <v>371744.67</v>
      </c>
      <c r="E205" s="142">
        <v>0</v>
      </c>
      <c r="F205" s="142">
        <v>0</v>
      </c>
      <c r="G205" s="142">
        <v>371744.67</v>
      </c>
    </row>
    <row r="206" spans="1:7" x14ac:dyDescent="0.2">
      <c r="A206" s="77">
        <v>119162</v>
      </c>
      <c r="B206" s="77" t="s">
        <v>240</v>
      </c>
      <c r="C206" s="77">
        <v>6</v>
      </c>
      <c r="D206" s="142">
        <v>-437285.49</v>
      </c>
      <c r="E206" s="142">
        <v>24296.37</v>
      </c>
      <c r="F206" s="142">
        <v>25584.43</v>
      </c>
      <c r="G206" s="142">
        <v>-438573.55</v>
      </c>
    </row>
    <row r="207" spans="1:7" x14ac:dyDescent="0.2">
      <c r="A207" s="77">
        <v>120180</v>
      </c>
      <c r="B207" s="77" t="s">
        <v>241</v>
      </c>
      <c r="C207" s="77">
        <v>5</v>
      </c>
      <c r="D207" s="142">
        <v>288633.84999999998</v>
      </c>
      <c r="E207" s="142">
        <v>0</v>
      </c>
      <c r="F207" s="142">
        <v>0</v>
      </c>
      <c r="G207" s="142">
        <v>288633.84999999998</v>
      </c>
    </row>
    <row r="208" spans="1:7" x14ac:dyDescent="0.2">
      <c r="A208" s="77">
        <v>120185</v>
      </c>
      <c r="B208" s="77" t="s">
        <v>242</v>
      </c>
      <c r="C208" s="77">
        <v>6</v>
      </c>
      <c r="D208" s="142">
        <v>288633.84999999998</v>
      </c>
      <c r="E208" s="142">
        <v>0</v>
      </c>
      <c r="F208" s="142">
        <v>0</v>
      </c>
      <c r="G208" s="142">
        <v>288633.84999999998</v>
      </c>
    </row>
    <row r="209" spans="1:7" x14ac:dyDescent="0.2">
      <c r="A209" s="77">
        <v>122195</v>
      </c>
      <c r="B209" s="77" t="s">
        <v>243</v>
      </c>
      <c r="C209" s="77">
        <v>5</v>
      </c>
      <c r="D209" s="142">
        <v>299322.21000000002</v>
      </c>
      <c r="E209" s="142">
        <v>0</v>
      </c>
      <c r="F209" s="142">
        <v>0</v>
      </c>
      <c r="G209" s="142">
        <v>299322.21000000002</v>
      </c>
    </row>
    <row r="210" spans="1:7" x14ac:dyDescent="0.2">
      <c r="A210" s="77">
        <v>122200</v>
      </c>
      <c r="B210" s="77" t="s">
        <v>244</v>
      </c>
      <c r="C210" s="77">
        <v>6</v>
      </c>
      <c r="D210" s="142">
        <v>299322.21000000002</v>
      </c>
      <c r="E210" s="142">
        <v>0</v>
      </c>
      <c r="F210" s="142">
        <v>0</v>
      </c>
      <c r="G210" s="142">
        <v>299322.21000000002</v>
      </c>
    </row>
    <row r="211" spans="1:7" x14ac:dyDescent="0.2">
      <c r="A211" s="77">
        <v>123500</v>
      </c>
      <c r="B211" s="77" t="s">
        <v>245</v>
      </c>
      <c r="C211" s="77">
        <v>5</v>
      </c>
      <c r="D211" s="142">
        <v>1179408.3600000001</v>
      </c>
      <c r="E211" s="142">
        <v>3380.69</v>
      </c>
      <c r="F211" s="142">
        <v>99.2</v>
      </c>
      <c r="G211" s="142">
        <v>1182689.8500000001</v>
      </c>
    </row>
    <row r="212" spans="1:7" x14ac:dyDescent="0.2">
      <c r="A212" s="77">
        <v>123505</v>
      </c>
      <c r="B212" s="77" t="s">
        <v>246</v>
      </c>
      <c r="C212" s="77">
        <v>6</v>
      </c>
      <c r="D212" s="142">
        <v>591339.73</v>
      </c>
      <c r="E212" s="142">
        <v>3294</v>
      </c>
      <c r="F212" s="142">
        <v>0</v>
      </c>
      <c r="G212" s="142">
        <v>594633.73</v>
      </c>
    </row>
    <row r="213" spans="1:7" x14ac:dyDescent="0.2">
      <c r="A213" s="77">
        <v>123510</v>
      </c>
      <c r="B213" s="77" t="s">
        <v>247</v>
      </c>
      <c r="C213" s="77">
        <v>6</v>
      </c>
      <c r="D213" s="142">
        <v>62483.35</v>
      </c>
      <c r="E213" s="142">
        <v>0</v>
      </c>
      <c r="F213" s="142">
        <v>0</v>
      </c>
      <c r="G213" s="142">
        <v>62483.35</v>
      </c>
    </row>
    <row r="214" spans="1:7" x14ac:dyDescent="0.2">
      <c r="A214" s="77">
        <v>123515</v>
      </c>
      <c r="B214" s="77" t="s">
        <v>248</v>
      </c>
      <c r="C214" s="77">
        <v>6</v>
      </c>
      <c r="D214" s="142">
        <v>319464.5</v>
      </c>
      <c r="E214" s="142">
        <v>0</v>
      </c>
      <c r="F214" s="142">
        <v>0</v>
      </c>
      <c r="G214" s="142">
        <v>319464.5</v>
      </c>
    </row>
    <row r="215" spans="1:7" x14ac:dyDescent="0.2">
      <c r="A215" s="77">
        <v>123520</v>
      </c>
      <c r="B215" s="77" t="s">
        <v>249</v>
      </c>
      <c r="C215" s="77">
        <v>6</v>
      </c>
      <c r="D215" s="142">
        <v>196525.26</v>
      </c>
      <c r="E215" s="142">
        <v>0</v>
      </c>
      <c r="F215" s="142">
        <v>0</v>
      </c>
      <c r="G215" s="142">
        <v>196525.26</v>
      </c>
    </row>
    <row r="216" spans="1:7" x14ac:dyDescent="0.2">
      <c r="A216" s="77">
        <v>123525</v>
      </c>
      <c r="B216" s="77" t="s">
        <v>250</v>
      </c>
      <c r="C216" s="77">
        <v>6</v>
      </c>
      <c r="D216" s="142">
        <v>25987.87</v>
      </c>
      <c r="E216" s="142">
        <v>0</v>
      </c>
      <c r="F216" s="142">
        <v>0</v>
      </c>
      <c r="G216" s="142">
        <v>25987.87</v>
      </c>
    </row>
    <row r="217" spans="1:7" x14ac:dyDescent="0.2">
      <c r="A217" s="77">
        <v>123530</v>
      </c>
      <c r="B217" s="77" t="s">
        <v>734</v>
      </c>
      <c r="C217" s="77">
        <v>6</v>
      </c>
      <c r="D217" s="142">
        <v>-2598.02</v>
      </c>
      <c r="E217" s="142">
        <v>14.46</v>
      </c>
      <c r="F217" s="142">
        <v>16.54</v>
      </c>
      <c r="G217" s="142">
        <v>-2600.1</v>
      </c>
    </row>
    <row r="218" spans="1:7" x14ac:dyDescent="0.2">
      <c r="A218" s="77">
        <v>123535</v>
      </c>
      <c r="B218" s="77" t="s">
        <v>735</v>
      </c>
      <c r="C218" s="77">
        <v>6</v>
      </c>
      <c r="D218" s="142">
        <v>-83.87</v>
      </c>
      <c r="E218" s="142">
        <v>10.9</v>
      </c>
      <c r="F218" s="142">
        <v>12.48</v>
      </c>
      <c r="G218" s="142">
        <v>-85.45</v>
      </c>
    </row>
    <row r="219" spans="1:7" x14ac:dyDescent="0.2">
      <c r="A219" s="77">
        <v>123540</v>
      </c>
      <c r="B219" s="77" t="s">
        <v>736</v>
      </c>
      <c r="C219" s="77">
        <v>6</v>
      </c>
      <c r="D219" s="142">
        <v>-8837.94</v>
      </c>
      <c r="E219" s="142">
        <v>48.62</v>
      </c>
      <c r="F219" s="142">
        <v>55.63</v>
      </c>
      <c r="G219" s="142">
        <v>-8844.9500000000007</v>
      </c>
    </row>
    <row r="220" spans="1:7" x14ac:dyDescent="0.2">
      <c r="A220" s="77">
        <v>123545</v>
      </c>
      <c r="B220" s="77" t="s">
        <v>737</v>
      </c>
      <c r="C220" s="77">
        <v>6</v>
      </c>
      <c r="D220" s="142">
        <v>-4872.5200000000004</v>
      </c>
      <c r="E220" s="142">
        <v>12.71</v>
      </c>
      <c r="F220" s="142">
        <v>14.55</v>
      </c>
      <c r="G220" s="142">
        <v>-4874.3599999999997</v>
      </c>
    </row>
    <row r="221" spans="1:7" x14ac:dyDescent="0.2">
      <c r="A221" s="77">
        <v>123800</v>
      </c>
      <c r="B221" s="77" t="s">
        <v>788</v>
      </c>
      <c r="C221" s="77">
        <v>5</v>
      </c>
      <c r="D221" s="142">
        <v>28198190.260000002</v>
      </c>
      <c r="E221" s="142">
        <v>0</v>
      </c>
      <c r="F221" s="142">
        <v>0</v>
      </c>
      <c r="G221" s="142">
        <v>28198190.260000002</v>
      </c>
    </row>
    <row r="222" spans="1:7" x14ac:dyDescent="0.2">
      <c r="A222" s="77">
        <v>123805</v>
      </c>
      <c r="B222" s="77" t="s">
        <v>789</v>
      </c>
      <c r="C222" s="77">
        <v>6</v>
      </c>
      <c r="D222" s="142">
        <v>28198190.260000002</v>
      </c>
      <c r="E222" s="142">
        <v>0</v>
      </c>
      <c r="F222" s="142">
        <v>0</v>
      </c>
      <c r="G222" s="142">
        <v>28198190.260000002</v>
      </c>
    </row>
    <row r="223" spans="1:7" x14ac:dyDescent="0.2">
      <c r="A223" s="77">
        <v>124100</v>
      </c>
      <c r="B223" s="77" t="s">
        <v>754</v>
      </c>
      <c r="C223" s="77">
        <v>5</v>
      </c>
      <c r="D223" s="142">
        <v>94959.72</v>
      </c>
      <c r="E223" s="142">
        <v>0</v>
      </c>
      <c r="F223" s="142">
        <v>0</v>
      </c>
      <c r="G223" s="142">
        <v>94959.72</v>
      </c>
    </row>
    <row r="224" spans="1:7" x14ac:dyDescent="0.2">
      <c r="A224" s="77">
        <v>124110</v>
      </c>
      <c r="B224" s="77" t="s">
        <v>755</v>
      </c>
      <c r="C224" s="77">
        <v>6</v>
      </c>
      <c r="D224" s="142">
        <v>94959.72</v>
      </c>
      <c r="E224" s="142">
        <v>0</v>
      </c>
      <c r="F224" s="142">
        <v>0</v>
      </c>
      <c r="G224" s="142">
        <v>94959.72</v>
      </c>
    </row>
    <row r="225" spans="1:7" x14ac:dyDescent="0.2">
      <c r="A225" s="77">
        <v>124210</v>
      </c>
      <c r="B225" s="77" t="s">
        <v>251</v>
      </c>
      <c r="C225" s="77">
        <v>5</v>
      </c>
      <c r="D225" s="142">
        <v>-90321006.849999994</v>
      </c>
      <c r="E225" s="142">
        <v>18329.23</v>
      </c>
      <c r="F225" s="142">
        <v>327704.46000000002</v>
      </c>
      <c r="G225" s="142">
        <v>-90630382.079999998</v>
      </c>
    </row>
    <row r="226" spans="1:7" x14ac:dyDescent="0.2">
      <c r="A226" s="77">
        <v>124225</v>
      </c>
      <c r="B226" s="77" t="s">
        <v>226</v>
      </c>
      <c r="C226" s="77">
        <v>6</v>
      </c>
      <c r="D226" s="142">
        <v>-40570041.289999999</v>
      </c>
      <c r="E226" s="142">
        <v>0</v>
      </c>
      <c r="F226" s="142">
        <v>26411.56</v>
      </c>
      <c r="G226" s="142">
        <v>-40596452.850000001</v>
      </c>
    </row>
    <row r="227" spans="1:7" x14ac:dyDescent="0.2">
      <c r="A227" s="77">
        <v>124230</v>
      </c>
      <c r="B227" s="77" t="s">
        <v>227</v>
      </c>
      <c r="C227" s="77">
        <v>6</v>
      </c>
      <c r="D227" s="142">
        <v>-34576778.200000003</v>
      </c>
      <c r="E227" s="142">
        <v>0</v>
      </c>
      <c r="F227" s="142">
        <v>175648.74</v>
      </c>
      <c r="G227" s="142">
        <v>-34752426.939999998</v>
      </c>
    </row>
    <row r="228" spans="1:7" x14ac:dyDescent="0.2">
      <c r="A228" s="77">
        <v>124231</v>
      </c>
      <c r="B228" s="77" t="s">
        <v>228</v>
      </c>
      <c r="C228" s="77">
        <v>6</v>
      </c>
      <c r="D228" s="142">
        <v>-86318.95</v>
      </c>
      <c r="E228" s="142">
        <v>0</v>
      </c>
      <c r="F228" s="142">
        <v>5445.02</v>
      </c>
      <c r="G228" s="142">
        <v>-91763.97</v>
      </c>
    </row>
    <row r="229" spans="1:7" x14ac:dyDescent="0.2">
      <c r="A229" s="77">
        <v>124232</v>
      </c>
      <c r="B229" s="77" t="s">
        <v>738</v>
      </c>
      <c r="C229" s="77">
        <v>6</v>
      </c>
      <c r="D229" s="142">
        <v>72369.52</v>
      </c>
      <c r="E229" s="142">
        <v>6674.4</v>
      </c>
      <c r="F229" s="142">
        <v>0</v>
      </c>
      <c r="G229" s="142">
        <v>79043.92</v>
      </c>
    </row>
    <row r="230" spans="1:7" x14ac:dyDescent="0.2">
      <c r="A230" s="77">
        <v>124235</v>
      </c>
      <c r="B230" s="77" t="s">
        <v>231</v>
      </c>
      <c r="C230" s="77">
        <v>6</v>
      </c>
      <c r="D230" s="142">
        <v>-2945968.35</v>
      </c>
      <c r="E230" s="142">
        <v>0</v>
      </c>
      <c r="F230" s="142">
        <v>17845.96</v>
      </c>
      <c r="G230" s="142">
        <v>-2963814.31</v>
      </c>
    </row>
    <row r="231" spans="1:7" x14ac:dyDescent="0.2">
      <c r="A231" s="77">
        <v>124236</v>
      </c>
      <c r="B231" s="77" t="s">
        <v>232</v>
      </c>
      <c r="C231" s="77">
        <v>6</v>
      </c>
      <c r="D231" s="142">
        <v>-12957.02</v>
      </c>
      <c r="E231" s="142">
        <v>0</v>
      </c>
      <c r="F231" s="142">
        <v>919.02</v>
      </c>
      <c r="G231" s="142">
        <v>-13876.04</v>
      </c>
    </row>
    <row r="232" spans="1:7" x14ac:dyDescent="0.2">
      <c r="A232" s="77">
        <v>124237</v>
      </c>
      <c r="B232" s="77" t="s">
        <v>233</v>
      </c>
      <c r="C232" s="77">
        <v>6</v>
      </c>
      <c r="D232" s="142">
        <v>10568.49</v>
      </c>
      <c r="E232" s="142">
        <v>947.03</v>
      </c>
      <c r="F232" s="142">
        <v>0</v>
      </c>
      <c r="G232" s="142">
        <v>11515.52</v>
      </c>
    </row>
    <row r="233" spans="1:7" x14ac:dyDescent="0.2">
      <c r="A233" s="77">
        <v>124255</v>
      </c>
      <c r="B233" s="77" t="s">
        <v>234</v>
      </c>
      <c r="C233" s="77">
        <v>6</v>
      </c>
      <c r="D233" s="142">
        <v>-1382550.42</v>
      </c>
      <c r="E233" s="142">
        <v>0</v>
      </c>
      <c r="F233" s="142">
        <v>10938.48</v>
      </c>
      <c r="G233" s="142">
        <v>-1393488.9</v>
      </c>
    </row>
    <row r="234" spans="1:7" x14ac:dyDescent="0.2">
      <c r="A234" s="77">
        <v>124256</v>
      </c>
      <c r="B234" s="77" t="s">
        <v>236</v>
      </c>
      <c r="C234" s="77">
        <v>6</v>
      </c>
      <c r="D234" s="142">
        <v>-109389.37</v>
      </c>
      <c r="E234" s="142">
        <v>0</v>
      </c>
      <c r="F234" s="142">
        <v>5951.29</v>
      </c>
      <c r="G234" s="142">
        <v>-115340.66</v>
      </c>
    </row>
    <row r="235" spans="1:7" x14ac:dyDescent="0.2">
      <c r="A235" s="77">
        <v>124257</v>
      </c>
      <c r="B235" s="77" t="s">
        <v>739</v>
      </c>
      <c r="C235" s="77">
        <v>6</v>
      </c>
      <c r="D235" s="142">
        <v>92126.32</v>
      </c>
      <c r="E235" s="142">
        <v>6784.37</v>
      </c>
      <c r="F235" s="142">
        <v>0</v>
      </c>
      <c r="G235" s="142">
        <v>98910.69</v>
      </c>
    </row>
    <row r="236" spans="1:7" x14ac:dyDescent="0.2">
      <c r="A236" s="77">
        <v>124260</v>
      </c>
      <c r="B236" s="77" t="s">
        <v>740</v>
      </c>
      <c r="C236" s="77">
        <v>6</v>
      </c>
      <c r="D236" s="142">
        <v>-203708.16</v>
      </c>
      <c r="E236" s="142">
        <v>0</v>
      </c>
      <c r="F236" s="142">
        <v>4157.29</v>
      </c>
      <c r="G236" s="142">
        <v>-207865.45</v>
      </c>
    </row>
    <row r="237" spans="1:7" x14ac:dyDescent="0.2">
      <c r="A237" s="77">
        <v>124270</v>
      </c>
      <c r="B237" s="77" t="s">
        <v>51</v>
      </c>
      <c r="C237" s="77">
        <v>6</v>
      </c>
      <c r="D237" s="142">
        <v>-9795100.4499999993</v>
      </c>
      <c r="E237" s="142">
        <v>0</v>
      </c>
      <c r="F237" s="142">
        <v>57767.21</v>
      </c>
      <c r="G237" s="142">
        <v>-9852867.6600000001</v>
      </c>
    </row>
    <row r="238" spans="1:7" x14ac:dyDescent="0.2">
      <c r="A238" s="77">
        <v>124275</v>
      </c>
      <c r="B238" s="77" t="s">
        <v>239</v>
      </c>
      <c r="C238" s="77">
        <v>6</v>
      </c>
      <c r="D238" s="142">
        <v>-53293.25</v>
      </c>
      <c r="E238" s="142">
        <v>0</v>
      </c>
      <c r="F238" s="142">
        <v>3124.41</v>
      </c>
      <c r="G238" s="142">
        <v>-56417.66</v>
      </c>
    </row>
    <row r="239" spans="1:7" x14ac:dyDescent="0.2">
      <c r="A239" s="77">
        <v>124276</v>
      </c>
      <c r="B239" s="77" t="s">
        <v>741</v>
      </c>
      <c r="C239" s="77">
        <v>6</v>
      </c>
      <c r="D239" s="142">
        <v>45174.8</v>
      </c>
      <c r="E239" s="142">
        <v>3649.99</v>
      </c>
      <c r="F239" s="142">
        <v>0</v>
      </c>
      <c r="G239" s="142">
        <v>48824.79</v>
      </c>
    </row>
    <row r="240" spans="1:7" x14ac:dyDescent="0.2">
      <c r="A240" s="77">
        <v>124300</v>
      </c>
      <c r="B240" s="77" t="s">
        <v>242</v>
      </c>
      <c r="C240" s="77">
        <v>6</v>
      </c>
      <c r="D240" s="142">
        <v>-288633.84999999998</v>
      </c>
      <c r="E240" s="142">
        <v>0</v>
      </c>
      <c r="F240" s="142">
        <v>0</v>
      </c>
      <c r="G240" s="142">
        <v>-288633.84999999998</v>
      </c>
    </row>
    <row r="241" spans="1:7" x14ac:dyDescent="0.2">
      <c r="A241" s="77">
        <v>124305</v>
      </c>
      <c r="B241" s="77" t="s">
        <v>246</v>
      </c>
      <c r="C241" s="77">
        <v>6</v>
      </c>
      <c r="D241" s="142">
        <v>-253252.23</v>
      </c>
      <c r="E241" s="142">
        <v>0</v>
      </c>
      <c r="F241" s="142">
        <v>9806.9599999999991</v>
      </c>
      <c r="G241" s="142">
        <v>-263059.19</v>
      </c>
    </row>
    <row r="242" spans="1:7" x14ac:dyDescent="0.2">
      <c r="A242" s="77">
        <v>124306</v>
      </c>
      <c r="B242" s="77" t="s">
        <v>756</v>
      </c>
      <c r="C242" s="77">
        <v>6</v>
      </c>
      <c r="D242" s="142">
        <v>-448.8</v>
      </c>
      <c r="E242" s="142">
        <v>0</v>
      </c>
      <c r="F242" s="142">
        <v>48.7</v>
      </c>
      <c r="G242" s="142">
        <v>-497.5</v>
      </c>
    </row>
    <row r="243" spans="1:7" x14ac:dyDescent="0.2">
      <c r="A243" s="77">
        <v>124308</v>
      </c>
      <c r="B243" s="77" t="s">
        <v>757</v>
      </c>
      <c r="C243" s="77">
        <v>6</v>
      </c>
      <c r="D243" s="142">
        <v>357.85</v>
      </c>
      <c r="E243" s="142">
        <v>43.35</v>
      </c>
      <c r="F243" s="142">
        <v>0</v>
      </c>
      <c r="G243" s="142">
        <v>401.2</v>
      </c>
    </row>
    <row r="244" spans="1:7" x14ac:dyDescent="0.2">
      <c r="A244" s="77">
        <v>124315</v>
      </c>
      <c r="B244" s="77" t="s">
        <v>247</v>
      </c>
      <c r="C244" s="77">
        <v>6</v>
      </c>
      <c r="D244" s="142">
        <v>-25804.1</v>
      </c>
      <c r="E244" s="142">
        <v>0</v>
      </c>
      <c r="F244" s="142">
        <v>1038.22</v>
      </c>
      <c r="G244" s="142">
        <v>-26842.32</v>
      </c>
    </row>
    <row r="245" spans="1:7" x14ac:dyDescent="0.2">
      <c r="A245" s="77">
        <v>124316</v>
      </c>
      <c r="B245" s="77" t="s">
        <v>758</v>
      </c>
      <c r="C245" s="77">
        <v>6</v>
      </c>
      <c r="D245" s="142">
        <v>-22.4</v>
      </c>
      <c r="E245" s="142">
        <v>0</v>
      </c>
      <c r="F245" s="142">
        <v>1.6</v>
      </c>
      <c r="G245" s="142">
        <v>-24</v>
      </c>
    </row>
    <row r="246" spans="1:7" x14ac:dyDescent="0.2">
      <c r="A246" s="77">
        <v>124318</v>
      </c>
      <c r="B246" s="77" t="s">
        <v>759</v>
      </c>
      <c r="C246" s="77">
        <v>6</v>
      </c>
      <c r="D246" s="142">
        <v>19.78</v>
      </c>
      <c r="E246" s="142">
        <v>1.42</v>
      </c>
      <c r="F246" s="142">
        <v>0</v>
      </c>
      <c r="G246" s="142">
        <v>21.2</v>
      </c>
    </row>
    <row r="247" spans="1:7" x14ac:dyDescent="0.2">
      <c r="A247" s="77">
        <v>124320</v>
      </c>
      <c r="B247" s="77" t="s">
        <v>248</v>
      </c>
      <c r="C247" s="77">
        <v>6</v>
      </c>
      <c r="D247" s="142">
        <v>-130067.66</v>
      </c>
      <c r="E247" s="142">
        <v>0</v>
      </c>
      <c r="F247" s="142">
        <v>5158.82</v>
      </c>
      <c r="G247" s="142">
        <v>-135226.48000000001</v>
      </c>
    </row>
    <row r="248" spans="1:7" x14ac:dyDescent="0.2">
      <c r="A248" s="77">
        <v>124321</v>
      </c>
      <c r="B248" s="77" t="s">
        <v>760</v>
      </c>
      <c r="C248" s="77">
        <v>6</v>
      </c>
      <c r="D248" s="142">
        <v>-1526.36</v>
      </c>
      <c r="E248" s="142">
        <v>0</v>
      </c>
      <c r="F248" s="142">
        <v>165.65</v>
      </c>
      <c r="G248" s="142">
        <v>-1692.01</v>
      </c>
    </row>
    <row r="249" spans="1:7" x14ac:dyDescent="0.2">
      <c r="A249" s="77">
        <v>124323</v>
      </c>
      <c r="B249" s="77" t="s">
        <v>761</v>
      </c>
      <c r="C249" s="77">
        <v>6</v>
      </c>
      <c r="D249" s="142">
        <v>1216.83</v>
      </c>
      <c r="E249" s="142">
        <v>147.41999999999999</v>
      </c>
      <c r="F249" s="142">
        <v>0</v>
      </c>
      <c r="G249" s="142">
        <v>1364.25</v>
      </c>
    </row>
    <row r="250" spans="1:7" x14ac:dyDescent="0.2">
      <c r="A250" s="77">
        <v>124325</v>
      </c>
      <c r="B250" s="77" t="s">
        <v>249</v>
      </c>
      <c r="C250" s="77">
        <v>6</v>
      </c>
      <c r="D250" s="142">
        <v>-80820.59</v>
      </c>
      <c r="E250" s="142">
        <v>0</v>
      </c>
      <c r="F250" s="142">
        <v>3184.23</v>
      </c>
      <c r="G250" s="142">
        <v>-84004.82</v>
      </c>
    </row>
    <row r="251" spans="1:7" x14ac:dyDescent="0.2">
      <c r="A251" s="77">
        <v>124326</v>
      </c>
      <c r="B251" s="77" t="s">
        <v>762</v>
      </c>
      <c r="C251" s="77">
        <v>6</v>
      </c>
      <c r="D251" s="142">
        <v>-830.81</v>
      </c>
      <c r="E251" s="142">
        <v>0</v>
      </c>
      <c r="F251" s="142">
        <v>91.3</v>
      </c>
      <c r="G251" s="142">
        <v>-922.11</v>
      </c>
    </row>
    <row r="252" spans="1:7" x14ac:dyDescent="0.2">
      <c r="A252" s="77">
        <v>124328</v>
      </c>
      <c r="B252" s="77" t="s">
        <v>763</v>
      </c>
      <c r="C252" s="77">
        <v>6</v>
      </c>
      <c r="D252" s="142">
        <v>659.69</v>
      </c>
      <c r="E252" s="142">
        <v>81.25</v>
      </c>
      <c r="F252" s="142">
        <v>0</v>
      </c>
      <c r="G252" s="142">
        <v>740.94</v>
      </c>
    </row>
    <row r="253" spans="1:7" x14ac:dyDescent="0.2">
      <c r="A253" s="77">
        <v>124330</v>
      </c>
      <c r="B253" s="77" t="s">
        <v>250</v>
      </c>
      <c r="C253" s="77">
        <v>6</v>
      </c>
      <c r="D253" s="142">
        <v>-25987.87</v>
      </c>
      <c r="E253" s="142">
        <v>0</v>
      </c>
      <c r="F253" s="142">
        <v>0</v>
      </c>
      <c r="G253" s="142">
        <v>-25987.87</v>
      </c>
    </row>
    <row r="254" spans="1:7" x14ac:dyDescent="0.2">
      <c r="A254" s="77">
        <v>124810</v>
      </c>
      <c r="B254" s="77" t="s">
        <v>764</v>
      </c>
      <c r="C254" s="77">
        <v>5</v>
      </c>
      <c r="D254" s="142">
        <v>-11095315.08</v>
      </c>
      <c r="E254" s="142">
        <v>0</v>
      </c>
      <c r="F254" s="142">
        <v>469511.55</v>
      </c>
      <c r="G254" s="142">
        <v>-11564826.630000001</v>
      </c>
    </row>
    <row r="255" spans="1:7" x14ac:dyDescent="0.2">
      <c r="A255" s="77">
        <v>124820</v>
      </c>
      <c r="B255" s="77" t="s">
        <v>765</v>
      </c>
      <c r="C255" s="77">
        <v>6</v>
      </c>
      <c r="D255" s="142">
        <v>-73857.399999999994</v>
      </c>
      <c r="E255" s="142">
        <v>0</v>
      </c>
      <c r="F255" s="142">
        <v>5275.54</v>
      </c>
      <c r="G255" s="142">
        <v>-79132.94</v>
      </c>
    </row>
    <row r="256" spans="1:7" x14ac:dyDescent="0.2">
      <c r="A256" s="77">
        <v>124890</v>
      </c>
      <c r="B256" s="77" t="s">
        <v>789</v>
      </c>
      <c r="C256" s="77">
        <v>6</v>
      </c>
      <c r="D256" s="142">
        <v>-11021457.68</v>
      </c>
      <c r="E256" s="142">
        <v>0</v>
      </c>
      <c r="F256" s="142">
        <v>464236.01</v>
      </c>
      <c r="G256" s="142">
        <v>-11485693.689999999</v>
      </c>
    </row>
    <row r="257" spans="1:7" x14ac:dyDescent="0.2">
      <c r="A257" s="77">
        <v>125450</v>
      </c>
      <c r="B257" s="77" t="s">
        <v>252</v>
      </c>
      <c r="C257" s="77">
        <v>5</v>
      </c>
      <c r="D257" s="142">
        <v>1634779.78</v>
      </c>
      <c r="E257" s="142">
        <v>72204.7</v>
      </c>
      <c r="F257" s="142">
        <v>545179.06999999995</v>
      </c>
      <c r="G257" s="142">
        <v>1161805.4099999999</v>
      </c>
    </row>
    <row r="258" spans="1:7" x14ac:dyDescent="0.2">
      <c r="A258" s="77">
        <v>125501</v>
      </c>
      <c r="B258" s="77" t="s">
        <v>253</v>
      </c>
      <c r="C258" s="77">
        <v>6</v>
      </c>
      <c r="D258" s="142">
        <v>72140.72</v>
      </c>
      <c r="E258" s="142">
        <v>0</v>
      </c>
      <c r="F258" s="142">
        <v>72140.72</v>
      </c>
      <c r="G258" s="142">
        <v>0</v>
      </c>
    </row>
    <row r="259" spans="1:7" x14ac:dyDescent="0.2">
      <c r="A259" s="77">
        <v>125502</v>
      </c>
      <c r="B259" s="77" t="s">
        <v>254</v>
      </c>
      <c r="C259" s="77">
        <v>6</v>
      </c>
      <c r="D259" s="142">
        <v>51444.91</v>
      </c>
      <c r="E259" s="142">
        <v>0</v>
      </c>
      <c r="F259" s="142">
        <v>51444.91</v>
      </c>
      <c r="G259" s="142">
        <v>0</v>
      </c>
    </row>
    <row r="260" spans="1:7" x14ac:dyDescent="0.2">
      <c r="A260" s="77">
        <v>125503</v>
      </c>
      <c r="B260" s="77" t="s">
        <v>255</v>
      </c>
      <c r="C260" s="77">
        <v>6</v>
      </c>
      <c r="D260" s="142">
        <v>6415.25</v>
      </c>
      <c r="E260" s="142">
        <v>0</v>
      </c>
      <c r="F260" s="142">
        <v>6415.25</v>
      </c>
      <c r="G260" s="142">
        <v>0</v>
      </c>
    </row>
    <row r="261" spans="1:7" x14ac:dyDescent="0.2">
      <c r="A261" s="77">
        <v>125504</v>
      </c>
      <c r="B261" s="77" t="s">
        <v>256</v>
      </c>
      <c r="C261" s="77">
        <v>6</v>
      </c>
      <c r="D261" s="142">
        <v>19934.400000000001</v>
      </c>
      <c r="E261" s="142">
        <v>0</v>
      </c>
      <c r="F261" s="142">
        <v>19934.400000000001</v>
      </c>
      <c r="G261" s="142">
        <v>0</v>
      </c>
    </row>
    <row r="262" spans="1:7" x14ac:dyDescent="0.2">
      <c r="A262" s="77">
        <v>125505</v>
      </c>
      <c r="B262" s="77" t="s">
        <v>257</v>
      </c>
      <c r="C262" s="77">
        <v>6</v>
      </c>
      <c r="D262" s="142">
        <v>53877.03</v>
      </c>
      <c r="E262" s="142">
        <v>0</v>
      </c>
      <c r="F262" s="142">
        <v>53877.03</v>
      </c>
      <c r="G262" s="142">
        <v>0</v>
      </c>
    </row>
    <row r="263" spans="1:7" x14ac:dyDescent="0.2">
      <c r="A263" s="77">
        <v>125514</v>
      </c>
      <c r="B263" s="77" t="s">
        <v>790</v>
      </c>
      <c r="C263" s="77">
        <v>6</v>
      </c>
      <c r="D263" s="142">
        <v>7218.32</v>
      </c>
      <c r="E263" s="142">
        <v>0</v>
      </c>
      <c r="F263" s="142">
        <v>7218.32</v>
      </c>
      <c r="G263" s="142">
        <v>0</v>
      </c>
    </row>
    <row r="264" spans="1:7" x14ac:dyDescent="0.2">
      <c r="A264" s="77">
        <v>125515</v>
      </c>
      <c r="B264" s="77" t="s">
        <v>866</v>
      </c>
      <c r="C264" s="77">
        <v>6</v>
      </c>
      <c r="D264" s="142">
        <v>690249.74</v>
      </c>
      <c r="E264" s="142">
        <v>19104.7</v>
      </c>
      <c r="F264" s="142">
        <v>139647.84</v>
      </c>
      <c r="G264" s="142">
        <v>569706.6</v>
      </c>
    </row>
    <row r="265" spans="1:7" x14ac:dyDescent="0.2">
      <c r="A265" s="77">
        <v>125517</v>
      </c>
      <c r="B265" s="77" t="s">
        <v>971</v>
      </c>
      <c r="C265" s="77">
        <v>6</v>
      </c>
      <c r="D265" s="142">
        <v>159937.32999999999</v>
      </c>
      <c r="E265" s="142">
        <v>0</v>
      </c>
      <c r="F265" s="142">
        <v>159937.32999999999</v>
      </c>
      <c r="G265" s="142">
        <v>0</v>
      </c>
    </row>
    <row r="266" spans="1:7" x14ac:dyDescent="0.2">
      <c r="A266" s="77">
        <v>125518</v>
      </c>
      <c r="B266" s="77" t="s">
        <v>972</v>
      </c>
      <c r="C266" s="77">
        <v>6</v>
      </c>
      <c r="D266" s="142">
        <v>522714.41</v>
      </c>
      <c r="E266" s="142">
        <v>48100</v>
      </c>
      <c r="F266" s="142">
        <v>0</v>
      </c>
      <c r="G266" s="142">
        <v>570814.41</v>
      </c>
    </row>
    <row r="267" spans="1:7" x14ac:dyDescent="0.2">
      <c r="A267" s="77">
        <v>125519</v>
      </c>
      <c r="B267" s="77" t="s">
        <v>1040</v>
      </c>
      <c r="C267" s="77">
        <v>6</v>
      </c>
      <c r="D267" s="142">
        <v>16284.4</v>
      </c>
      <c r="E267" s="142">
        <v>0</v>
      </c>
      <c r="F267" s="142">
        <v>0</v>
      </c>
      <c r="G267" s="142">
        <v>16284.4</v>
      </c>
    </row>
    <row r="268" spans="1:7" x14ac:dyDescent="0.2">
      <c r="A268" s="77">
        <v>125520</v>
      </c>
      <c r="B268" s="77" t="s">
        <v>984</v>
      </c>
      <c r="C268" s="77">
        <v>6</v>
      </c>
      <c r="D268" s="142">
        <v>34563.269999999997</v>
      </c>
      <c r="E268" s="142">
        <v>0</v>
      </c>
      <c r="F268" s="142">
        <v>34563.269999999997</v>
      </c>
      <c r="G268" s="142">
        <v>0</v>
      </c>
    </row>
    <row r="269" spans="1:7" x14ac:dyDescent="0.2">
      <c r="A269" s="77">
        <v>125521</v>
      </c>
      <c r="B269" s="77" t="s">
        <v>1242</v>
      </c>
      <c r="C269" s="77">
        <v>6</v>
      </c>
      <c r="D269" s="142">
        <v>0</v>
      </c>
      <c r="E269" s="142">
        <v>5000</v>
      </c>
      <c r="F269" s="142">
        <v>0</v>
      </c>
      <c r="G269" s="142">
        <v>5000</v>
      </c>
    </row>
    <row r="270" spans="1:7" x14ac:dyDescent="0.2">
      <c r="A270" s="77">
        <v>135000</v>
      </c>
      <c r="B270" s="77" t="s">
        <v>723</v>
      </c>
      <c r="C270" s="77">
        <v>5</v>
      </c>
      <c r="D270" s="142">
        <v>300398.19</v>
      </c>
      <c r="E270" s="142">
        <v>35563.300000000003</v>
      </c>
      <c r="F270" s="142">
        <v>29133.13</v>
      </c>
      <c r="G270" s="142">
        <v>306828.36</v>
      </c>
    </row>
    <row r="271" spans="1:7" x14ac:dyDescent="0.2">
      <c r="A271" s="77">
        <v>135005</v>
      </c>
      <c r="B271" s="77" t="s">
        <v>226</v>
      </c>
      <c r="C271" s="77">
        <v>6</v>
      </c>
      <c r="D271" s="142">
        <v>5003645.3099999996</v>
      </c>
      <c r="E271" s="142">
        <v>26411.56</v>
      </c>
      <c r="F271" s="142">
        <v>0</v>
      </c>
      <c r="G271" s="142">
        <v>5030056.87</v>
      </c>
    </row>
    <row r="272" spans="1:7" x14ac:dyDescent="0.2">
      <c r="A272" s="77">
        <v>135010</v>
      </c>
      <c r="B272" s="77" t="s">
        <v>227</v>
      </c>
      <c r="C272" s="77">
        <v>6</v>
      </c>
      <c r="D272" s="142">
        <v>-2595254.85</v>
      </c>
      <c r="E272" s="142">
        <v>0</v>
      </c>
      <c r="F272" s="142">
        <v>0</v>
      </c>
      <c r="G272" s="142">
        <v>-2595254.85</v>
      </c>
    </row>
    <row r="273" spans="1:7" x14ac:dyDescent="0.2">
      <c r="A273" s="77">
        <v>135015</v>
      </c>
      <c r="B273" s="77" t="s">
        <v>231</v>
      </c>
      <c r="C273" s="77">
        <v>6</v>
      </c>
      <c r="D273" s="142">
        <v>-289739.64</v>
      </c>
      <c r="E273" s="142">
        <v>0</v>
      </c>
      <c r="F273" s="142">
        <v>2532.29</v>
      </c>
      <c r="G273" s="142">
        <v>-292271.93</v>
      </c>
    </row>
    <row r="274" spans="1:7" x14ac:dyDescent="0.2">
      <c r="A274" s="77">
        <v>135020</v>
      </c>
      <c r="B274" s="77" t="s">
        <v>234</v>
      </c>
      <c r="C274" s="77">
        <v>6</v>
      </c>
      <c r="D274" s="142">
        <v>-688882.1</v>
      </c>
      <c r="E274" s="142">
        <v>0</v>
      </c>
      <c r="F274" s="142">
        <v>9826.02</v>
      </c>
      <c r="G274" s="142">
        <v>-698708.12</v>
      </c>
    </row>
    <row r="275" spans="1:7" x14ac:dyDescent="0.2">
      <c r="A275" s="77">
        <v>135025</v>
      </c>
      <c r="B275" s="77" t="s">
        <v>742</v>
      </c>
      <c r="C275" s="77">
        <v>6</v>
      </c>
      <c r="D275" s="142">
        <v>-1344156.41</v>
      </c>
      <c r="E275" s="142">
        <v>0</v>
      </c>
      <c r="F275" s="142">
        <v>16774.82</v>
      </c>
      <c r="G275" s="142">
        <v>-1360931.23</v>
      </c>
    </row>
    <row r="276" spans="1:7" x14ac:dyDescent="0.2">
      <c r="A276" s="77">
        <v>135030</v>
      </c>
      <c r="B276" s="77" t="s">
        <v>242</v>
      </c>
      <c r="C276" s="77">
        <v>6</v>
      </c>
      <c r="D276" s="142">
        <v>99010</v>
      </c>
      <c r="E276" s="142">
        <v>0</v>
      </c>
      <c r="F276" s="142">
        <v>0</v>
      </c>
      <c r="G276" s="142">
        <v>99010</v>
      </c>
    </row>
    <row r="277" spans="1:7" x14ac:dyDescent="0.2">
      <c r="A277" s="77">
        <v>135035</v>
      </c>
      <c r="B277" s="77" t="s">
        <v>743</v>
      </c>
      <c r="C277" s="77">
        <v>6</v>
      </c>
      <c r="D277" s="142">
        <v>2333.7600000000002</v>
      </c>
      <c r="E277" s="142">
        <v>0</v>
      </c>
      <c r="F277" s="142">
        <v>0</v>
      </c>
      <c r="G277" s="142">
        <v>2333.7600000000002</v>
      </c>
    </row>
    <row r="278" spans="1:7" x14ac:dyDescent="0.2">
      <c r="A278" s="77">
        <v>135040</v>
      </c>
      <c r="B278" s="77" t="s">
        <v>744</v>
      </c>
      <c r="C278" s="77">
        <v>6</v>
      </c>
      <c r="D278" s="142">
        <v>28821.759999999998</v>
      </c>
      <c r="E278" s="142">
        <v>2354.41</v>
      </c>
      <c r="F278" s="142">
        <v>0</v>
      </c>
      <c r="G278" s="142">
        <v>31176.17</v>
      </c>
    </row>
    <row r="279" spans="1:7" x14ac:dyDescent="0.2">
      <c r="A279" s="77">
        <v>135045</v>
      </c>
      <c r="B279" s="77" t="s">
        <v>745</v>
      </c>
      <c r="C279" s="77">
        <v>6</v>
      </c>
      <c r="D279" s="142">
        <v>59705.11</v>
      </c>
      <c r="E279" s="142">
        <v>4828.3999999999996</v>
      </c>
      <c r="F279" s="142">
        <v>0</v>
      </c>
      <c r="G279" s="142">
        <v>64533.51</v>
      </c>
    </row>
    <row r="280" spans="1:7" x14ac:dyDescent="0.2">
      <c r="A280" s="77">
        <v>135050</v>
      </c>
      <c r="B280" s="77" t="s">
        <v>247</v>
      </c>
      <c r="C280" s="77">
        <v>6</v>
      </c>
      <c r="D280" s="142">
        <v>6727.1</v>
      </c>
      <c r="E280" s="142">
        <v>496.27</v>
      </c>
      <c r="F280" s="142">
        <v>0</v>
      </c>
      <c r="G280" s="142">
        <v>7223.37</v>
      </c>
    </row>
    <row r="281" spans="1:7" x14ac:dyDescent="0.2">
      <c r="A281" s="77">
        <v>135055</v>
      </c>
      <c r="B281" s="77" t="s">
        <v>249</v>
      </c>
      <c r="C281" s="77">
        <v>6</v>
      </c>
      <c r="D281" s="142">
        <v>18188.150000000001</v>
      </c>
      <c r="E281" s="142">
        <v>1472.66</v>
      </c>
      <c r="F281" s="142">
        <v>0</v>
      </c>
      <c r="G281" s="142">
        <v>19660.810000000001</v>
      </c>
    </row>
    <row r="282" spans="1:7" x14ac:dyDescent="0.2">
      <c r="A282" s="77">
        <v>138570</v>
      </c>
      <c r="B282" s="77" t="s">
        <v>724</v>
      </c>
      <c r="C282" s="77">
        <v>4</v>
      </c>
      <c r="D282" s="142">
        <v>1362256.51</v>
      </c>
      <c r="E282" s="142">
        <v>0</v>
      </c>
      <c r="F282" s="142">
        <v>0</v>
      </c>
      <c r="G282" s="142">
        <v>1362256.51</v>
      </c>
    </row>
    <row r="283" spans="1:7" x14ac:dyDescent="0.2">
      <c r="A283" s="77">
        <v>138700</v>
      </c>
      <c r="B283" s="77" t="s">
        <v>225</v>
      </c>
      <c r="C283" s="77">
        <v>5</v>
      </c>
      <c r="D283" s="142">
        <v>22938997.809999999</v>
      </c>
      <c r="E283" s="142">
        <v>0</v>
      </c>
      <c r="F283" s="142">
        <v>0</v>
      </c>
      <c r="G283" s="142">
        <v>22938997.809999999</v>
      </c>
    </row>
    <row r="284" spans="1:7" x14ac:dyDescent="0.2">
      <c r="A284" s="77">
        <v>138710</v>
      </c>
      <c r="B284" s="77" t="s">
        <v>226</v>
      </c>
      <c r="C284" s="77">
        <v>6</v>
      </c>
      <c r="D284" s="142">
        <v>18823804.25</v>
      </c>
      <c r="E284" s="142">
        <v>0</v>
      </c>
      <c r="F284" s="142">
        <v>0</v>
      </c>
      <c r="G284" s="142">
        <v>18823804.25</v>
      </c>
    </row>
    <row r="285" spans="1:7" x14ac:dyDescent="0.2">
      <c r="A285" s="77">
        <v>138720</v>
      </c>
      <c r="B285" s="77" t="s">
        <v>227</v>
      </c>
      <c r="C285" s="77">
        <v>6</v>
      </c>
      <c r="D285" s="142">
        <v>4115193.56</v>
      </c>
      <c r="E285" s="142">
        <v>0</v>
      </c>
      <c r="F285" s="142">
        <v>0</v>
      </c>
      <c r="G285" s="142">
        <v>4115193.56</v>
      </c>
    </row>
    <row r="286" spans="1:7" x14ac:dyDescent="0.2">
      <c r="A286" s="77">
        <v>138900</v>
      </c>
      <c r="B286" s="77" t="s">
        <v>230</v>
      </c>
      <c r="C286" s="77">
        <v>5</v>
      </c>
      <c r="D286" s="142">
        <v>323555.05</v>
      </c>
      <c r="E286" s="142">
        <v>0</v>
      </c>
      <c r="F286" s="142">
        <v>0</v>
      </c>
      <c r="G286" s="142">
        <v>323555.05</v>
      </c>
    </row>
    <row r="287" spans="1:7" x14ac:dyDescent="0.2">
      <c r="A287" s="77">
        <v>138910</v>
      </c>
      <c r="B287" s="77" t="s">
        <v>231</v>
      </c>
      <c r="C287" s="77">
        <v>6</v>
      </c>
      <c r="D287" s="142">
        <v>323555.05</v>
      </c>
      <c r="E287" s="142">
        <v>0</v>
      </c>
      <c r="F287" s="142">
        <v>0</v>
      </c>
      <c r="G287" s="142">
        <v>323555.05</v>
      </c>
    </row>
    <row r="288" spans="1:7" x14ac:dyDescent="0.2">
      <c r="A288" s="77">
        <v>139000</v>
      </c>
      <c r="B288" s="77" t="s">
        <v>238</v>
      </c>
      <c r="C288" s="77">
        <v>5</v>
      </c>
      <c r="D288" s="142">
        <v>56940.66</v>
      </c>
      <c r="E288" s="142">
        <v>0</v>
      </c>
      <c r="F288" s="142">
        <v>0</v>
      </c>
      <c r="G288" s="142">
        <v>56940.66</v>
      </c>
    </row>
    <row r="289" spans="1:7" x14ac:dyDescent="0.2">
      <c r="A289" s="77">
        <v>139010</v>
      </c>
      <c r="B289" s="77" t="s">
        <v>51</v>
      </c>
      <c r="C289" s="77">
        <v>6</v>
      </c>
      <c r="D289" s="142">
        <v>56940.66</v>
      </c>
      <c r="E289" s="142">
        <v>0</v>
      </c>
      <c r="F289" s="142">
        <v>0</v>
      </c>
      <c r="G289" s="142">
        <v>56940.66</v>
      </c>
    </row>
    <row r="290" spans="1:7" x14ac:dyDescent="0.2">
      <c r="A290" s="77">
        <v>139400</v>
      </c>
      <c r="B290" s="77" t="s">
        <v>243</v>
      </c>
      <c r="C290" s="77">
        <v>5</v>
      </c>
      <c r="D290" s="142">
        <v>8696.5</v>
      </c>
      <c r="E290" s="142">
        <v>0</v>
      </c>
      <c r="F290" s="142">
        <v>0</v>
      </c>
      <c r="G290" s="142">
        <v>8696.5</v>
      </c>
    </row>
    <row r="291" spans="1:7" x14ac:dyDescent="0.2">
      <c r="A291" s="77">
        <v>139410</v>
      </c>
      <c r="B291" s="77" t="s">
        <v>244</v>
      </c>
      <c r="C291" s="77">
        <v>6</v>
      </c>
      <c r="D291" s="142">
        <v>8696.5</v>
      </c>
      <c r="E291" s="142">
        <v>0</v>
      </c>
      <c r="F291" s="142">
        <v>0</v>
      </c>
      <c r="G291" s="142">
        <v>8696.5</v>
      </c>
    </row>
    <row r="292" spans="1:7" x14ac:dyDescent="0.2">
      <c r="A292" s="77">
        <v>139500</v>
      </c>
      <c r="B292" s="77" t="s">
        <v>725</v>
      </c>
      <c r="C292" s="77">
        <v>5</v>
      </c>
      <c r="D292" s="142">
        <v>-23319493.510000002</v>
      </c>
      <c r="E292" s="142">
        <v>0</v>
      </c>
      <c r="F292" s="142">
        <v>0</v>
      </c>
      <c r="G292" s="142">
        <v>-23319493.510000002</v>
      </c>
    </row>
    <row r="293" spans="1:7" x14ac:dyDescent="0.2">
      <c r="A293" s="77">
        <v>139510</v>
      </c>
      <c r="B293" s="77" t="s">
        <v>746</v>
      </c>
      <c r="C293" s="77">
        <v>6</v>
      </c>
      <c r="D293" s="142">
        <v>-18823804.239999998</v>
      </c>
      <c r="E293" s="142">
        <v>0</v>
      </c>
      <c r="F293" s="142">
        <v>0</v>
      </c>
      <c r="G293" s="142">
        <v>-18823804.239999998</v>
      </c>
    </row>
    <row r="294" spans="1:7" x14ac:dyDescent="0.2">
      <c r="A294" s="77">
        <v>139520</v>
      </c>
      <c r="B294" s="77" t="s">
        <v>747</v>
      </c>
      <c r="C294" s="77">
        <v>6</v>
      </c>
      <c r="D294" s="142">
        <v>-4115193.56</v>
      </c>
      <c r="E294" s="142">
        <v>0</v>
      </c>
      <c r="F294" s="142">
        <v>0</v>
      </c>
      <c r="G294" s="142">
        <v>-4115193.56</v>
      </c>
    </row>
    <row r="295" spans="1:7" x14ac:dyDescent="0.2">
      <c r="A295" s="77">
        <v>139530</v>
      </c>
      <c r="B295" s="77" t="s">
        <v>231</v>
      </c>
      <c r="C295" s="77">
        <v>6</v>
      </c>
      <c r="D295" s="142">
        <v>-323555.05</v>
      </c>
      <c r="E295" s="142">
        <v>0</v>
      </c>
      <c r="F295" s="142">
        <v>0</v>
      </c>
      <c r="G295" s="142">
        <v>-323555.05</v>
      </c>
    </row>
    <row r="296" spans="1:7" x14ac:dyDescent="0.2">
      <c r="A296" s="77">
        <v>139550</v>
      </c>
      <c r="B296" s="77" t="s">
        <v>51</v>
      </c>
      <c r="C296" s="77">
        <v>6</v>
      </c>
      <c r="D296" s="142">
        <v>-56940.66</v>
      </c>
      <c r="E296" s="142">
        <v>0</v>
      </c>
      <c r="F296" s="142">
        <v>0</v>
      </c>
      <c r="G296" s="142">
        <v>-56940.66</v>
      </c>
    </row>
    <row r="297" spans="1:7" x14ac:dyDescent="0.2">
      <c r="A297" s="77">
        <v>140000</v>
      </c>
      <c r="B297" s="77" t="s">
        <v>726</v>
      </c>
      <c r="C297" s="77">
        <v>5</v>
      </c>
      <c r="D297" s="142">
        <v>1353560</v>
      </c>
      <c r="E297" s="142">
        <v>0</v>
      </c>
      <c r="F297" s="142">
        <v>0</v>
      </c>
      <c r="G297" s="142">
        <v>1353560</v>
      </c>
    </row>
    <row r="298" spans="1:7" x14ac:dyDescent="0.2">
      <c r="A298" s="77">
        <v>140005</v>
      </c>
      <c r="B298" s="77" t="s">
        <v>226</v>
      </c>
      <c r="C298" s="77">
        <v>6</v>
      </c>
      <c r="D298" s="142">
        <v>1353560</v>
      </c>
      <c r="E298" s="142">
        <v>0</v>
      </c>
      <c r="F298" s="142">
        <v>0</v>
      </c>
      <c r="G298" s="142">
        <v>1353560</v>
      </c>
    </row>
    <row r="299" spans="1:7" x14ac:dyDescent="0.2">
      <c r="A299" s="77">
        <v>145000</v>
      </c>
      <c r="B299" s="77" t="s">
        <v>260</v>
      </c>
      <c r="C299" s="77">
        <v>3</v>
      </c>
      <c r="D299" s="142">
        <v>58137.77</v>
      </c>
      <c r="E299" s="142">
        <v>10640.61</v>
      </c>
      <c r="F299" s="142">
        <v>10191.120000000001</v>
      </c>
      <c r="G299" s="154">
        <v>58587.26</v>
      </c>
    </row>
    <row r="300" spans="1:7" x14ac:dyDescent="0.2">
      <c r="A300" s="77">
        <v>145100</v>
      </c>
      <c r="B300" s="77" t="s">
        <v>261</v>
      </c>
      <c r="C300" s="77">
        <v>4</v>
      </c>
      <c r="D300" s="142">
        <v>57609.75</v>
      </c>
      <c r="E300" s="142">
        <v>10640.61</v>
      </c>
      <c r="F300" s="142">
        <v>10191.120000000001</v>
      </c>
      <c r="G300" s="142">
        <v>58059.24</v>
      </c>
    </row>
    <row r="301" spans="1:7" x14ac:dyDescent="0.2">
      <c r="A301" s="77">
        <v>145200</v>
      </c>
      <c r="B301" s="77" t="s">
        <v>262</v>
      </c>
      <c r="C301" s="77">
        <v>5</v>
      </c>
      <c r="D301" s="142">
        <v>13133.62</v>
      </c>
      <c r="E301" s="142">
        <v>0</v>
      </c>
      <c r="F301" s="142">
        <v>0</v>
      </c>
      <c r="G301" s="142">
        <v>13133.62</v>
      </c>
    </row>
    <row r="302" spans="1:7" x14ac:dyDescent="0.2">
      <c r="A302" s="77">
        <v>145210</v>
      </c>
      <c r="B302" s="77" t="s">
        <v>263</v>
      </c>
      <c r="C302" s="77">
        <v>6</v>
      </c>
      <c r="D302" s="142">
        <v>13133.62</v>
      </c>
      <c r="E302" s="142">
        <v>0</v>
      </c>
      <c r="F302" s="142">
        <v>0</v>
      </c>
      <c r="G302" s="142">
        <v>13133.62</v>
      </c>
    </row>
    <row r="303" spans="1:7" x14ac:dyDescent="0.2">
      <c r="A303" s="77">
        <v>145300</v>
      </c>
      <c r="B303" s="77" t="s">
        <v>264</v>
      </c>
      <c r="C303" s="77">
        <v>5</v>
      </c>
      <c r="D303" s="142">
        <v>1500861.28</v>
      </c>
      <c r="E303" s="142">
        <v>8663.07</v>
      </c>
      <c r="F303" s="142">
        <v>6947.62</v>
      </c>
      <c r="G303" s="142">
        <v>1502576.73</v>
      </c>
    </row>
    <row r="304" spans="1:7" x14ac:dyDescent="0.2">
      <c r="A304" s="77">
        <v>145310</v>
      </c>
      <c r="B304" s="77" t="s">
        <v>265</v>
      </c>
      <c r="C304" s="77">
        <v>6</v>
      </c>
      <c r="D304" s="142">
        <v>1483085.68</v>
      </c>
      <c r="E304" s="142">
        <v>1715.45</v>
      </c>
      <c r="F304" s="142">
        <v>0</v>
      </c>
      <c r="G304" s="142">
        <v>1484801.13</v>
      </c>
    </row>
    <row r="305" spans="1:7" x14ac:dyDescent="0.2">
      <c r="A305" s="77">
        <v>145315</v>
      </c>
      <c r="B305" s="77" t="s">
        <v>266</v>
      </c>
      <c r="C305" s="77">
        <v>6</v>
      </c>
      <c r="D305" s="142">
        <v>138731.29</v>
      </c>
      <c r="E305" s="142">
        <v>0</v>
      </c>
      <c r="F305" s="142">
        <v>0</v>
      </c>
      <c r="G305" s="142">
        <v>138731.29</v>
      </c>
    </row>
    <row r="306" spans="1:7" x14ac:dyDescent="0.2">
      <c r="A306" s="77">
        <v>145320</v>
      </c>
      <c r="B306" s="77" t="s">
        <v>267</v>
      </c>
      <c r="C306" s="77">
        <v>6</v>
      </c>
      <c r="D306" s="142">
        <v>-120955.69</v>
      </c>
      <c r="E306" s="142">
        <v>6947.62</v>
      </c>
      <c r="F306" s="142">
        <v>6947.62</v>
      </c>
      <c r="G306" s="142">
        <v>-120955.69</v>
      </c>
    </row>
    <row r="307" spans="1:7" x14ac:dyDescent="0.2">
      <c r="A307" s="77">
        <v>146300</v>
      </c>
      <c r="B307" s="77" t="s">
        <v>727</v>
      </c>
      <c r="C307" s="77">
        <v>5</v>
      </c>
      <c r="D307" s="142">
        <v>-1456385.15</v>
      </c>
      <c r="E307" s="142">
        <v>1977.54</v>
      </c>
      <c r="F307" s="142">
        <v>3243.5</v>
      </c>
      <c r="G307" s="142">
        <v>-1457651.11</v>
      </c>
    </row>
    <row r="308" spans="1:7" x14ac:dyDescent="0.2">
      <c r="A308" s="77">
        <v>146310</v>
      </c>
      <c r="B308" s="77" t="s">
        <v>265</v>
      </c>
      <c r="C308" s="77">
        <v>6</v>
      </c>
      <c r="D308" s="142">
        <v>-1451843.22</v>
      </c>
      <c r="E308" s="142">
        <v>0</v>
      </c>
      <c r="F308" s="142">
        <v>931.3</v>
      </c>
      <c r="G308" s="142">
        <v>-1452774.52</v>
      </c>
    </row>
    <row r="309" spans="1:7" x14ac:dyDescent="0.2">
      <c r="A309" s="77">
        <v>146315</v>
      </c>
      <c r="B309" s="77" t="s">
        <v>266</v>
      </c>
      <c r="C309" s="77">
        <v>6</v>
      </c>
      <c r="D309" s="142">
        <v>-43742.31</v>
      </c>
      <c r="E309" s="142">
        <v>0</v>
      </c>
      <c r="F309" s="142">
        <v>2312.1999999999998</v>
      </c>
      <c r="G309" s="142">
        <v>-46054.51</v>
      </c>
    </row>
    <row r="310" spans="1:7" x14ac:dyDescent="0.2">
      <c r="A310" s="77">
        <v>146320</v>
      </c>
      <c r="B310" s="77" t="s">
        <v>267</v>
      </c>
      <c r="C310" s="77">
        <v>6</v>
      </c>
      <c r="D310" s="142">
        <v>39200.379999999997</v>
      </c>
      <c r="E310" s="142">
        <v>1977.54</v>
      </c>
      <c r="F310" s="142">
        <v>0</v>
      </c>
      <c r="G310" s="142">
        <v>41177.919999999998</v>
      </c>
    </row>
    <row r="311" spans="1:7" x14ac:dyDescent="0.2">
      <c r="A311" s="77">
        <v>147000</v>
      </c>
      <c r="B311" s="77" t="s">
        <v>728</v>
      </c>
      <c r="C311" s="77">
        <v>4</v>
      </c>
      <c r="D311" s="142">
        <v>528.02</v>
      </c>
      <c r="E311" s="142">
        <v>0</v>
      </c>
      <c r="F311" s="142">
        <v>0</v>
      </c>
      <c r="G311" s="142">
        <v>528.02</v>
      </c>
    </row>
    <row r="312" spans="1:7" x14ac:dyDescent="0.2">
      <c r="A312" s="77">
        <v>147010</v>
      </c>
      <c r="B312" s="77" t="s">
        <v>262</v>
      </c>
      <c r="C312" s="77">
        <v>5</v>
      </c>
      <c r="D312" s="142">
        <v>528.02</v>
      </c>
      <c r="E312" s="142">
        <v>0</v>
      </c>
      <c r="F312" s="142">
        <v>0</v>
      </c>
      <c r="G312" s="142">
        <v>528.02</v>
      </c>
    </row>
    <row r="313" spans="1:7" x14ac:dyDescent="0.2">
      <c r="A313" s="77">
        <v>147020</v>
      </c>
      <c r="B313" s="77" t="s">
        <v>263</v>
      </c>
      <c r="C313" s="77">
        <v>6</v>
      </c>
      <c r="D313" s="142">
        <v>528.02</v>
      </c>
      <c r="E313" s="142">
        <v>0</v>
      </c>
      <c r="F313" s="142">
        <v>0</v>
      </c>
      <c r="G313" s="142">
        <v>528.02</v>
      </c>
    </row>
    <row r="314" spans="1:7" hidden="1" x14ac:dyDescent="0.2">
      <c r="A314">
        <v>169830</v>
      </c>
      <c r="B314" t="s">
        <v>268</v>
      </c>
      <c r="C314">
        <v>2</v>
      </c>
      <c r="D314" s="1">
        <v>9873.52</v>
      </c>
      <c r="E314" s="1">
        <v>0</v>
      </c>
      <c r="F314" s="1">
        <v>0</v>
      </c>
      <c r="G314" s="1">
        <v>9873.52</v>
      </c>
    </row>
    <row r="315" spans="1:7" hidden="1" x14ac:dyDescent="0.2">
      <c r="A315">
        <v>171840</v>
      </c>
      <c r="B315" t="s">
        <v>269</v>
      </c>
      <c r="C315">
        <v>3</v>
      </c>
      <c r="D315" s="1">
        <v>140</v>
      </c>
      <c r="E315" s="1">
        <v>0</v>
      </c>
      <c r="F315" s="1">
        <v>0</v>
      </c>
      <c r="G315" s="1">
        <v>140</v>
      </c>
    </row>
    <row r="316" spans="1:7" hidden="1" x14ac:dyDescent="0.2">
      <c r="A316">
        <v>171845</v>
      </c>
      <c r="B316" t="s">
        <v>270</v>
      </c>
      <c r="C316">
        <v>4</v>
      </c>
      <c r="D316" s="1">
        <v>140</v>
      </c>
      <c r="E316" s="1">
        <v>0</v>
      </c>
      <c r="F316" s="1">
        <v>0</v>
      </c>
      <c r="G316" s="1">
        <v>140</v>
      </c>
    </row>
    <row r="317" spans="1:7" hidden="1" x14ac:dyDescent="0.2">
      <c r="A317">
        <v>171860</v>
      </c>
      <c r="B317" t="s">
        <v>271</v>
      </c>
      <c r="C317">
        <v>3</v>
      </c>
      <c r="D317" s="1">
        <v>9733.52</v>
      </c>
      <c r="E317" s="1">
        <v>0</v>
      </c>
      <c r="F317" s="1">
        <v>0</v>
      </c>
      <c r="G317" s="1">
        <v>9733.52</v>
      </c>
    </row>
    <row r="318" spans="1:7" hidden="1" x14ac:dyDescent="0.2">
      <c r="A318">
        <v>171865</v>
      </c>
      <c r="B318" t="s">
        <v>272</v>
      </c>
      <c r="C318">
        <v>4</v>
      </c>
      <c r="D318" s="1">
        <v>9733.52</v>
      </c>
      <c r="E318" s="1">
        <v>0</v>
      </c>
      <c r="F318" s="1">
        <v>0</v>
      </c>
      <c r="G318" s="1">
        <v>9733.52</v>
      </c>
    </row>
    <row r="319" spans="1:7" hidden="1" x14ac:dyDescent="0.2">
      <c r="A319">
        <v>200000</v>
      </c>
      <c r="B319" t="s">
        <v>273</v>
      </c>
      <c r="C319">
        <v>1</v>
      </c>
      <c r="D319" s="1">
        <v>80160438.129999995</v>
      </c>
      <c r="E319" s="1">
        <v>10490349.5</v>
      </c>
      <c r="F319" s="1">
        <v>9778558.1500000004</v>
      </c>
      <c r="G319" s="1">
        <v>79448646.780000001</v>
      </c>
    </row>
    <row r="320" spans="1:7" hidden="1" x14ac:dyDescent="0.2">
      <c r="A320">
        <v>201000</v>
      </c>
      <c r="B320" t="s">
        <v>274</v>
      </c>
      <c r="C320">
        <v>2</v>
      </c>
      <c r="D320" s="1">
        <v>66436155.649999999</v>
      </c>
      <c r="E320" s="1">
        <v>9974172.7799999993</v>
      </c>
      <c r="F320" s="1">
        <v>9693031</v>
      </c>
      <c r="G320" s="1">
        <v>66155013.869999997</v>
      </c>
    </row>
    <row r="321" spans="1:7" hidden="1" x14ac:dyDescent="0.2">
      <c r="A321">
        <v>203000</v>
      </c>
      <c r="B321" t="s">
        <v>275</v>
      </c>
      <c r="C321">
        <v>3</v>
      </c>
      <c r="D321" s="1">
        <v>1478254.98</v>
      </c>
      <c r="E321" s="1">
        <v>1761922.83</v>
      </c>
      <c r="F321" s="1">
        <v>1495524.62</v>
      </c>
      <c r="G321" s="1">
        <v>1211856.77</v>
      </c>
    </row>
    <row r="322" spans="1:7" hidden="1" x14ac:dyDescent="0.2">
      <c r="A322">
        <v>203010</v>
      </c>
      <c r="B322" t="s">
        <v>276</v>
      </c>
      <c r="C322">
        <v>4</v>
      </c>
      <c r="D322" s="1">
        <v>1159.8</v>
      </c>
      <c r="E322" s="1">
        <v>0</v>
      </c>
      <c r="F322" s="1">
        <v>0</v>
      </c>
      <c r="G322" s="1">
        <v>1159.8</v>
      </c>
    </row>
    <row r="323" spans="1:7" hidden="1" x14ac:dyDescent="0.2">
      <c r="A323">
        <v>203072</v>
      </c>
      <c r="B323" t="s">
        <v>277</v>
      </c>
      <c r="C323">
        <v>4</v>
      </c>
      <c r="D323" s="1">
        <v>1528.18</v>
      </c>
      <c r="E323" s="1">
        <v>1146.8800000000001</v>
      </c>
      <c r="F323" s="1">
        <v>0</v>
      </c>
      <c r="G323" s="1">
        <v>381.3</v>
      </c>
    </row>
    <row r="324" spans="1:7" hidden="1" x14ac:dyDescent="0.2">
      <c r="A324">
        <v>203073</v>
      </c>
      <c r="B324" t="s">
        <v>1243</v>
      </c>
      <c r="C324">
        <v>4</v>
      </c>
      <c r="D324" s="1">
        <v>0</v>
      </c>
      <c r="E324" s="1">
        <v>500</v>
      </c>
      <c r="F324" s="1">
        <v>500</v>
      </c>
      <c r="G324" s="1">
        <v>0</v>
      </c>
    </row>
    <row r="325" spans="1:7" hidden="1" x14ac:dyDescent="0.2">
      <c r="A325">
        <v>203257</v>
      </c>
      <c r="B325" t="s">
        <v>1244</v>
      </c>
      <c r="C325">
        <v>4</v>
      </c>
      <c r="D325" s="1">
        <v>0</v>
      </c>
      <c r="E325" s="1">
        <v>0</v>
      </c>
      <c r="F325" s="1">
        <v>149</v>
      </c>
      <c r="G325" s="1">
        <v>149</v>
      </c>
    </row>
    <row r="326" spans="1:7" hidden="1" x14ac:dyDescent="0.2">
      <c r="A326">
        <v>203276</v>
      </c>
      <c r="B326" t="s">
        <v>278</v>
      </c>
      <c r="C326">
        <v>4</v>
      </c>
      <c r="D326" s="1">
        <v>0</v>
      </c>
      <c r="E326" s="1">
        <v>3453.35</v>
      </c>
      <c r="F326" s="1">
        <v>3608.09</v>
      </c>
      <c r="G326" s="1">
        <v>154.74</v>
      </c>
    </row>
    <row r="327" spans="1:7" hidden="1" x14ac:dyDescent="0.2">
      <c r="A327">
        <v>203463</v>
      </c>
      <c r="B327" t="s">
        <v>279</v>
      </c>
      <c r="C327">
        <v>4</v>
      </c>
      <c r="D327" s="1">
        <v>32.5</v>
      </c>
      <c r="E327" s="1">
        <v>599.26</v>
      </c>
      <c r="F327" s="1">
        <v>599.26</v>
      </c>
      <c r="G327" s="1">
        <v>32.5</v>
      </c>
    </row>
    <row r="328" spans="1:7" hidden="1" x14ac:dyDescent="0.2">
      <c r="A328">
        <v>203498</v>
      </c>
      <c r="B328" t="s">
        <v>1041</v>
      </c>
      <c r="C328">
        <v>4</v>
      </c>
      <c r="D328" s="1">
        <v>1350</v>
      </c>
      <c r="E328" s="1">
        <v>1800</v>
      </c>
      <c r="F328" s="1">
        <v>5039.05</v>
      </c>
      <c r="G328" s="1">
        <v>4589.05</v>
      </c>
    </row>
    <row r="329" spans="1:7" hidden="1" x14ac:dyDescent="0.2">
      <c r="A329">
        <v>203526</v>
      </c>
      <c r="B329" t="s">
        <v>1245</v>
      </c>
      <c r="C329">
        <v>4</v>
      </c>
      <c r="D329" s="1">
        <v>0</v>
      </c>
      <c r="E329" s="1">
        <v>0</v>
      </c>
      <c r="F329" s="1">
        <v>9900</v>
      </c>
      <c r="G329" s="1">
        <v>9900</v>
      </c>
    </row>
    <row r="330" spans="1:7" hidden="1" x14ac:dyDescent="0.2">
      <c r="A330">
        <v>203542</v>
      </c>
      <c r="B330" t="s">
        <v>1246</v>
      </c>
      <c r="C330">
        <v>4</v>
      </c>
      <c r="D330" s="1">
        <v>0</v>
      </c>
      <c r="E330" s="1">
        <v>0</v>
      </c>
      <c r="F330" s="1">
        <v>989</v>
      </c>
      <c r="G330" s="1">
        <v>989</v>
      </c>
    </row>
    <row r="331" spans="1:7" hidden="1" x14ac:dyDescent="0.2">
      <c r="A331">
        <v>203747</v>
      </c>
      <c r="B331" t="s">
        <v>880</v>
      </c>
      <c r="C331">
        <v>4</v>
      </c>
      <c r="D331" s="1">
        <v>184</v>
      </c>
      <c r="E331" s="1">
        <v>0</v>
      </c>
      <c r="F331" s="1">
        <v>0</v>
      </c>
      <c r="G331" s="1">
        <v>184</v>
      </c>
    </row>
    <row r="332" spans="1:7" hidden="1" x14ac:dyDescent="0.2">
      <c r="A332">
        <v>203775</v>
      </c>
      <c r="B332" t="s">
        <v>985</v>
      </c>
      <c r="C332">
        <v>4</v>
      </c>
      <c r="D332" s="1">
        <v>361.02</v>
      </c>
      <c r="E332" s="1">
        <v>361.02</v>
      </c>
      <c r="F332" s="1">
        <v>0</v>
      </c>
      <c r="G332" s="1">
        <v>0</v>
      </c>
    </row>
    <row r="333" spans="1:7" hidden="1" x14ac:dyDescent="0.2">
      <c r="A333">
        <v>203831</v>
      </c>
      <c r="B333" t="s">
        <v>1042</v>
      </c>
      <c r="C333">
        <v>4</v>
      </c>
      <c r="D333" s="1">
        <v>1586.88</v>
      </c>
      <c r="E333" s="1">
        <v>1586.88</v>
      </c>
      <c r="F333" s="1">
        <v>1190.1600000000001</v>
      </c>
      <c r="G333" s="1">
        <v>1190.1600000000001</v>
      </c>
    </row>
    <row r="334" spans="1:7" hidden="1" x14ac:dyDescent="0.2">
      <c r="A334">
        <v>203845</v>
      </c>
      <c r="B334" t="s">
        <v>881</v>
      </c>
      <c r="C334">
        <v>4</v>
      </c>
      <c r="D334" s="1">
        <v>270</v>
      </c>
      <c r="E334" s="1">
        <v>270</v>
      </c>
      <c r="F334" s="1">
        <v>0</v>
      </c>
      <c r="G334" s="1">
        <v>0</v>
      </c>
    </row>
    <row r="335" spans="1:7" hidden="1" x14ac:dyDescent="0.2">
      <c r="A335">
        <v>203910</v>
      </c>
      <c r="B335" t="s">
        <v>280</v>
      </c>
      <c r="C335">
        <v>4</v>
      </c>
      <c r="D335" s="1">
        <v>76929.64</v>
      </c>
      <c r="E335" s="1">
        <v>76929.64</v>
      </c>
      <c r="F335" s="1">
        <v>0</v>
      </c>
      <c r="G335" s="1">
        <v>0</v>
      </c>
    </row>
    <row r="336" spans="1:7" hidden="1" x14ac:dyDescent="0.2">
      <c r="A336">
        <v>203957</v>
      </c>
      <c r="B336" t="s">
        <v>281</v>
      </c>
      <c r="C336">
        <v>4</v>
      </c>
      <c r="D336" s="1">
        <v>2328.27</v>
      </c>
      <c r="E336" s="1">
        <v>4196.83</v>
      </c>
      <c r="F336" s="1">
        <v>2328.27</v>
      </c>
      <c r="G336" s="1">
        <v>459.71</v>
      </c>
    </row>
    <row r="337" spans="1:7" hidden="1" x14ac:dyDescent="0.2">
      <c r="A337">
        <v>204185</v>
      </c>
      <c r="B337" t="s">
        <v>1247</v>
      </c>
      <c r="C337">
        <v>4</v>
      </c>
      <c r="D337" s="1">
        <v>0</v>
      </c>
      <c r="E337" s="1">
        <v>0</v>
      </c>
      <c r="F337" s="1">
        <v>294.8</v>
      </c>
      <c r="G337" s="1">
        <v>294.8</v>
      </c>
    </row>
    <row r="338" spans="1:7" hidden="1" x14ac:dyDescent="0.2">
      <c r="A338">
        <v>204380</v>
      </c>
      <c r="B338" t="s">
        <v>1079</v>
      </c>
      <c r="C338">
        <v>4</v>
      </c>
      <c r="D338" s="1">
        <v>3873.11</v>
      </c>
      <c r="E338" s="1">
        <v>3873.11</v>
      </c>
      <c r="F338" s="1">
        <v>7021.4</v>
      </c>
      <c r="G338" s="1">
        <v>7021.4</v>
      </c>
    </row>
    <row r="339" spans="1:7" hidden="1" x14ac:dyDescent="0.2">
      <c r="A339">
        <v>204397</v>
      </c>
      <c r="B339" t="s">
        <v>935</v>
      </c>
      <c r="C339">
        <v>4</v>
      </c>
      <c r="D339" s="1">
        <v>216.8</v>
      </c>
      <c r="E339" s="1">
        <v>216.8</v>
      </c>
      <c r="F339" s="1">
        <v>0</v>
      </c>
      <c r="G339" s="1">
        <v>0</v>
      </c>
    </row>
    <row r="340" spans="1:7" hidden="1" x14ac:dyDescent="0.2">
      <c r="A340">
        <v>204453</v>
      </c>
      <c r="B340" t="s">
        <v>986</v>
      </c>
      <c r="C340">
        <v>4</v>
      </c>
      <c r="D340" s="1">
        <v>1601.92</v>
      </c>
      <c r="E340" s="1">
        <v>1601.92</v>
      </c>
      <c r="F340" s="1">
        <v>832.62</v>
      </c>
      <c r="G340" s="1">
        <v>832.62</v>
      </c>
    </row>
    <row r="341" spans="1:7" hidden="1" x14ac:dyDescent="0.2">
      <c r="A341">
        <v>204540</v>
      </c>
      <c r="B341" t="s">
        <v>1248</v>
      </c>
      <c r="C341">
        <v>4</v>
      </c>
      <c r="D341" s="1">
        <v>0</v>
      </c>
      <c r="E341" s="1">
        <v>0</v>
      </c>
      <c r="F341" s="1">
        <v>30</v>
      </c>
      <c r="G341" s="1">
        <v>30</v>
      </c>
    </row>
    <row r="342" spans="1:7" hidden="1" x14ac:dyDescent="0.2">
      <c r="A342">
        <v>204544</v>
      </c>
      <c r="B342" t="s">
        <v>1043</v>
      </c>
      <c r="C342">
        <v>4</v>
      </c>
      <c r="D342" s="1">
        <v>91783.27</v>
      </c>
      <c r="E342" s="1">
        <v>91783.27</v>
      </c>
      <c r="F342" s="1">
        <v>0</v>
      </c>
      <c r="G342" s="1">
        <v>0</v>
      </c>
    </row>
    <row r="343" spans="1:7" hidden="1" x14ac:dyDescent="0.2">
      <c r="A343">
        <v>204570</v>
      </c>
      <c r="B343" t="s">
        <v>282</v>
      </c>
      <c r="C343">
        <v>4</v>
      </c>
      <c r="D343" s="1">
        <v>357.53</v>
      </c>
      <c r="E343" s="1">
        <v>0</v>
      </c>
      <c r="F343" s="1">
        <v>0</v>
      </c>
      <c r="G343" s="1">
        <v>357.53</v>
      </c>
    </row>
    <row r="344" spans="1:7" hidden="1" x14ac:dyDescent="0.2">
      <c r="A344">
        <v>204605</v>
      </c>
      <c r="B344" t="s">
        <v>283</v>
      </c>
      <c r="C344">
        <v>4</v>
      </c>
      <c r="D344" s="1">
        <v>677.13</v>
      </c>
      <c r="E344" s="1">
        <v>0</v>
      </c>
      <c r="F344" s="1">
        <v>0</v>
      </c>
      <c r="G344" s="1">
        <v>677.13</v>
      </c>
    </row>
    <row r="345" spans="1:7" hidden="1" x14ac:dyDescent="0.2">
      <c r="A345">
        <v>204633</v>
      </c>
      <c r="B345" t="s">
        <v>1044</v>
      </c>
      <c r="C345">
        <v>4</v>
      </c>
      <c r="D345" s="1">
        <v>889.72</v>
      </c>
      <c r="E345" s="1">
        <v>944.27</v>
      </c>
      <c r="F345" s="1">
        <v>1928.74</v>
      </c>
      <c r="G345" s="1">
        <v>1874.19</v>
      </c>
    </row>
    <row r="346" spans="1:7" hidden="1" x14ac:dyDescent="0.2">
      <c r="A346">
        <v>204638</v>
      </c>
      <c r="B346" t="s">
        <v>1249</v>
      </c>
      <c r="C346">
        <v>4</v>
      </c>
      <c r="D346" s="1">
        <v>0</v>
      </c>
      <c r="E346" s="1">
        <v>276.13</v>
      </c>
      <c r="F346" s="1">
        <v>569.83000000000004</v>
      </c>
      <c r="G346" s="1">
        <v>293.7</v>
      </c>
    </row>
    <row r="347" spans="1:7" hidden="1" x14ac:dyDescent="0.2">
      <c r="A347">
        <v>204834</v>
      </c>
      <c r="B347" t="s">
        <v>1250</v>
      </c>
      <c r="C347">
        <v>4</v>
      </c>
      <c r="D347" s="1">
        <v>0</v>
      </c>
      <c r="E347" s="1">
        <v>241.57</v>
      </c>
      <c r="F347" s="1">
        <v>241.57</v>
      </c>
      <c r="G347" s="1">
        <v>0</v>
      </c>
    </row>
    <row r="348" spans="1:7" hidden="1" x14ac:dyDescent="0.2">
      <c r="A348">
        <v>204850</v>
      </c>
      <c r="B348" t="s">
        <v>987</v>
      </c>
      <c r="C348">
        <v>4</v>
      </c>
      <c r="D348" s="1">
        <v>420.94</v>
      </c>
      <c r="E348" s="1">
        <v>1111.0899999999999</v>
      </c>
      <c r="F348" s="1">
        <v>819.67</v>
      </c>
      <c r="G348" s="1">
        <v>129.52000000000001</v>
      </c>
    </row>
    <row r="349" spans="1:7" hidden="1" x14ac:dyDescent="0.2">
      <c r="A349">
        <v>204855</v>
      </c>
      <c r="B349" t="s">
        <v>1251</v>
      </c>
      <c r="C349">
        <v>4</v>
      </c>
      <c r="D349" s="1">
        <v>0</v>
      </c>
      <c r="E349" s="1">
        <v>6865</v>
      </c>
      <c r="F349" s="1">
        <v>6865</v>
      </c>
      <c r="G349" s="1">
        <v>0</v>
      </c>
    </row>
    <row r="350" spans="1:7" hidden="1" x14ac:dyDescent="0.2">
      <c r="A350">
        <v>204860</v>
      </c>
      <c r="B350" t="s">
        <v>1045</v>
      </c>
      <c r="C350">
        <v>4</v>
      </c>
      <c r="D350" s="1">
        <v>2257.1999999999998</v>
      </c>
      <c r="E350" s="1">
        <v>0</v>
      </c>
      <c r="F350" s="1">
        <v>0</v>
      </c>
      <c r="G350" s="1">
        <v>2257.1999999999998</v>
      </c>
    </row>
    <row r="351" spans="1:7" hidden="1" x14ac:dyDescent="0.2">
      <c r="A351">
        <v>204883</v>
      </c>
      <c r="B351" t="s">
        <v>1046</v>
      </c>
      <c r="C351">
        <v>4</v>
      </c>
      <c r="D351" s="1">
        <v>13355.6</v>
      </c>
      <c r="E351" s="1">
        <v>13355.6</v>
      </c>
      <c r="F351" s="1">
        <v>10339.719999999999</v>
      </c>
      <c r="G351" s="1">
        <v>10339.719999999999</v>
      </c>
    </row>
    <row r="352" spans="1:7" hidden="1" x14ac:dyDescent="0.2">
      <c r="A352">
        <v>204914</v>
      </c>
      <c r="B352" t="s">
        <v>1252</v>
      </c>
      <c r="C352">
        <v>4</v>
      </c>
      <c r="D352" s="1">
        <v>0</v>
      </c>
      <c r="E352" s="1">
        <v>174</v>
      </c>
      <c r="F352" s="1">
        <v>864</v>
      </c>
      <c r="G352" s="1">
        <v>690</v>
      </c>
    </row>
    <row r="353" spans="1:7" hidden="1" x14ac:dyDescent="0.2">
      <c r="A353">
        <v>204928</v>
      </c>
      <c r="B353" t="s">
        <v>284</v>
      </c>
      <c r="C353">
        <v>4</v>
      </c>
      <c r="D353" s="1">
        <v>48869.79</v>
      </c>
      <c r="E353" s="1">
        <v>48869.79</v>
      </c>
      <c r="F353" s="1">
        <v>19236.759999999998</v>
      </c>
      <c r="G353" s="1">
        <v>19236.759999999998</v>
      </c>
    </row>
    <row r="354" spans="1:7" hidden="1" x14ac:dyDescent="0.2">
      <c r="A354">
        <v>204955</v>
      </c>
      <c r="B354" t="s">
        <v>285</v>
      </c>
      <c r="C354">
        <v>4</v>
      </c>
      <c r="D354" s="1">
        <v>6172.12</v>
      </c>
      <c r="E354" s="1">
        <v>2101.6799999999998</v>
      </c>
      <c r="F354" s="1">
        <v>2446.36</v>
      </c>
      <c r="G354" s="1">
        <v>6516.8</v>
      </c>
    </row>
    <row r="355" spans="1:7" hidden="1" x14ac:dyDescent="0.2">
      <c r="A355">
        <v>205029</v>
      </c>
      <c r="B355" t="s">
        <v>1115</v>
      </c>
      <c r="C355">
        <v>4</v>
      </c>
      <c r="D355" s="1">
        <v>88.74</v>
      </c>
      <c r="E355" s="1">
        <v>88.74</v>
      </c>
      <c r="F355" s="1">
        <v>0</v>
      </c>
      <c r="G355" s="1">
        <v>0</v>
      </c>
    </row>
    <row r="356" spans="1:7" hidden="1" x14ac:dyDescent="0.2">
      <c r="A356">
        <v>205043</v>
      </c>
      <c r="B356" t="s">
        <v>1116</v>
      </c>
      <c r="C356">
        <v>4</v>
      </c>
      <c r="D356" s="1">
        <v>1030.8</v>
      </c>
      <c r="E356" s="1">
        <v>1030.8</v>
      </c>
      <c r="F356" s="1">
        <v>0</v>
      </c>
      <c r="G356" s="1">
        <v>0</v>
      </c>
    </row>
    <row r="357" spans="1:7" hidden="1" x14ac:dyDescent="0.2">
      <c r="A357">
        <v>205061</v>
      </c>
      <c r="B357" t="s">
        <v>1047</v>
      </c>
      <c r="C357">
        <v>4</v>
      </c>
      <c r="D357" s="1">
        <v>1380</v>
      </c>
      <c r="E357" s="1">
        <v>1380</v>
      </c>
      <c r="F357" s="1">
        <v>2476</v>
      </c>
      <c r="G357" s="1">
        <v>2476</v>
      </c>
    </row>
    <row r="358" spans="1:7" hidden="1" x14ac:dyDescent="0.2">
      <c r="A358">
        <v>205265</v>
      </c>
      <c r="B358" t="s">
        <v>286</v>
      </c>
      <c r="C358">
        <v>4</v>
      </c>
      <c r="D358" s="1">
        <v>0</v>
      </c>
      <c r="E358" s="1">
        <v>77481.8</v>
      </c>
      <c r="F358" s="1">
        <v>77481.8</v>
      </c>
      <c r="G358" s="1">
        <v>0</v>
      </c>
    </row>
    <row r="359" spans="1:7" hidden="1" x14ac:dyDescent="0.2">
      <c r="A359">
        <v>205280</v>
      </c>
      <c r="B359" t="s">
        <v>936</v>
      </c>
      <c r="C359">
        <v>4</v>
      </c>
      <c r="D359" s="1">
        <v>256</v>
      </c>
      <c r="E359" s="1">
        <v>456.3</v>
      </c>
      <c r="F359" s="1">
        <v>805.1</v>
      </c>
      <c r="G359" s="1">
        <v>604.79999999999995</v>
      </c>
    </row>
    <row r="360" spans="1:7" hidden="1" x14ac:dyDescent="0.2">
      <c r="A360">
        <v>205323</v>
      </c>
      <c r="B360" t="s">
        <v>287</v>
      </c>
      <c r="C360">
        <v>4</v>
      </c>
      <c r="D360" s="1">
        <v>109.39</v>
      </c>
      <c r="E360" s="1">
        <v>0</v>
      </c>
      <c r="F360" s="1">
        <v>0</v>
      </c>
      <c r="G360" s="1">
        <v>109.39</v>
      </c>
    </row>
    <row r="361" spans="1:7" hidden="1" x14ac:dyDescent="0.2">
      <c r="A361">
        <v>205364</v>
      </c>
      <c r="B361" t="s">
        <v>288</v>
      </c>
      <c r="C361">
        <v>4</v>
      </c>
      <c r="D361" s="1">
        <v>1941.98</v>
      </c>
      <c r="E361" s="1">
        <v>3003.26</v>
      </c>
      <c r="F361" s="1">
        <v>1134.42</v>
      </c>
      <c r="G361" s="1">
        <v>73.14</v>
      </c>
    </row>
    <row r="362" spans="1:7" hidden="1" x14ac:dyDescent="0.2">
      <c r="A362">
        <v>205380</v>
      </c>
      <c r="B362" t="s">
        <v>289</v>
      </c>
      <c r="C362">
        <v>4</v>
      </c>
      <c r="D362" s="1">
        <v>39316.870000000003</v>
      </c>
      <c r="E362" s="1">
        <v>16334.85</v>
      </c>
      <c r="F362" s="1">
        <v>3746.68</v>
      </c>
      <c r="G362" s="1">
        <v>26728.7</v>
      </c>
    </row>
    <row r="363" spans="1:7" hidden="1" x14ac:dyDescent="0.2">
      <c r="A363">
        <v>205410</v>
      </c>
      <c r="B363" t="s">
        <v>290</v>
      </c>
      <c r="C363">
        <v>4</v>
      </c>
      <c r="D363" s="1">
        <v>5531.8</v>
      </c>
      <c r="E363" s="1">
        <v>5531.8</v>
      </c>
      <c r="F363" s="1">
        <v>5153.8</v>
      </c>
      <c r="G363" s="1">
        <v>5153.8</v>
      </c>
    </row>
    <row r="364" spans="1:7" hidden="1" x14ac:dyDescent="0.2">
      <c r="A364">
        <v>205497</v>
      </c>
      <c r="B364" t="s">
        <v>1117</v>
      </c>
      <c r="C364">
        <v>4</v>
      </c>
      <c r="D364" s="1">
        <v>3682.99</v>
      </c>
      <c r="E364" s="1">
        <v>3682.99</v>
      </c>
      <c r="F364" s="1">
        <v>0</v>
      </c>
      <c r="G364" s="1">
        <v>0</v>
      </c>
    </row>
    <row r="365" spans="1:7" hidden="1" x14ac:dyDescent="0.2">
      <c r="A365">
        <v>205510</v>
      </c>
      <c r="B365" t="s">
        <v>291</v>
      </c>
      <c r="C365">
        <v>4</v>
      </c>
      <c r="D365" s="1">
        <v>0</v>
      </c>
      <c r="E365" s="1">
        <v>2200</v>
      </c>
      <c r="F365" s="1">
        <v>2200</v>
      </c>
      <c r="G365" s="1">
        <v>0</v>
      </c>
    </row>
    <row r="366" spans="1:7" hidden="1" x14ac:dyDescent="0.2">
      <c r="A366">
        <v>205543</v>
      </c>
      <c r="B366" t="s">
        <v>1118</v>
      </c>
      <c r="C366">
        <v>4</v>
      </c>
      <c r="D366" s="1">
        <v>0</v>
      </c>
      <c r="E366" s="1">
        <v>295.41000000000003</v>
      </c>
      <c r="F366" s="1">
        <v>0</v>
      </c>
      <c r="G366" s="1">
        <v>-295.41000000000003</v>
      </c>
    </row>
    <row r="367" spans="1:7" hidden="1" x14ac:dyDescent="0.2">
      <c r="A367">
        <v>205588</v>
      </c>
      <c r="B367" t="s">
        <v>292</v>
      </c>
      <c r="C367">
        <v>4</v>
      </c>
      <c r="D367" s="1">
        <v>428.55</v>
      </c>
      <c r="E367" s="1">
        <v>428.55</v>
      </c>
      <c r="F367" s="1">
        <v>497.86</v>
      </c>
      <c r="G367" s="1">
        <v>497.86</v>
      </c>
    </row>
    <row r="368" spans="1:7" hidden="1" x14ac:dyDescent="0.2">
      <c r="A368">
        <v>205598</v>
      </c>
      <c r="B368" t="s">
        <v>293</v>
      </c>
      <c r="C368">
        <v>4</v>
      </c>
      <c r="D368" s="1">
        <v>74.16</v>
      </c>
      <c r="E368" s="1">
        <v>0</v>
      </c>
      <c r="F368" s="1">
        <v>376.4</v>
      </c>
      <c r="G368" s="1">
        <v>450.56</v>
      </c>
    </row>
    <row r="369" spans="1:7" hidden="1" x14ac:dyDescent="0.2">
      <c r="A369">
        <v>205679</v>
      </c>
      <c r="B369" t="s">
        <v>1119</v>
      </c>
      <c r="C369">
        <v>4</v>
      </c>
      <c r="D369" s="1">
        <v>6917</v>
      </c>
      <c r="E369" s="1">
        <v>13834</v>
      </c>
      <c r="F369" s="1">
        <v>6917</v>
      </c>
      <c r="G369" s="1">
        <v>0</v>
      </c>
    </row>
    <row r="370" spans="1:7" hidden="1" x14ac:dyDescent="0.2">
      <c r="A370">
        <v>205743</v>
      </c>
      <c r="B370" t="s">
        <v>294</v>
      </c>
      <c r="C370">
        <v>4</v>
      </c>
      <c r="D370" s="1">
        <v>2457.31</v>
      </c>
      <c r="E370" s="1">
        <v>10299.58</v>
      </c>
      <c r="F370" s="1">
        <v>10466.620000000001</v>
      </c>
      <c r="G370" s="1">
        <v>2624.35</v>
      </c>
    </row>
    <row r="371" spans="1:7" hidden="1" x14ac:dyDescent="0.2">
      <c r="A371">
        <v>205762</v>
      </c>
      <c r="B371" t="s">
        <v>1253</v>
      </c>
      <c r="C371">
        <v>4</v>
      </c>
      <c r="D371" s="1">
        <v>0</v>
      </c>
      <c r="E371" s="1">
        <v>31</v>
      </c>
      <c r="F371" s="1">
        <v>31</v>
      </c>
      <c r="G371" s="1">
        <v>0</v>
      </c>
    </row>
    <row r="372" spans="1:7" hidden="1" x14ac:dyDescent="0.2">
      <c r="A372">
        <v>205809</v>
      </c>
      <c r="B372" t="s">
        <v>988</v>
      </c>
      <c r="C372">
        <v>4</v>
      </c>
      <c r="D372" s="1">
        <v>-259</v>
      </c>
      <c r="E372" s="1">
        <v>0</v>
      </c>
      <c r="F372" s="1">
        <v>0</v>
      </c>
      <c r="G372" s="1">
        <v>-259</v>
      </c>
    </row>
    <row r="373" spans="1:7" hidden="1" x14ac:dyDescent="0.2">
      <c r="A373">
        <v>205820</v>
      </c>
      <c r="B373" t="s">
        <v>1048</v>
      </c>
      <c r="C373">
        <v>4</v>
      </c>
      <c r="D373" s="1">
        <v>7402</v>
      </c>
      <c r="E373" s="1">
        <v>902</v>
      </c>
      <c r="F373" s="1">
        <v>0</v>
      </c>
      <c r="G373" s="1">
        <v>6500</v>
      </c>
    </row>
    <row r="374" spans="1:7" hidden="1" x14ac:dyDescent="0.2">
      <c r="A374">
        <v>205822</v>
      </c>
      <c r="B374" t="s">
        <v>1254</v>
      </c>
      <c r="C374">
        <v>4</v>
      </c>
      <c r="D374" s="1">
        <v>0</v>
      </c>
      <c r="E374" s="1">
        <v>50</v>
      </c>
      <c r="F374" s="1">
        <v>50</v>
      </c>
      <c r="G374" s="1">
        <v>0</v>
      </c>
    </row>
    <row r="375" spans="1:7" hidden="1" x14ac:dyDescent="0.2">
      <c r="A375">
        <v>205865</v>
      </c>
      <c r="B375" t="s">
        <v>973</v>
      </c>
      <c r="C375">
        <v>4</v>
      </c>
      <c r="D375" s="1">
        <v>315.87</v>
      </c>
      <c r="E375" s="1">
        <v>631.74</v>
      </c>
      <c r="F375" s="1">
        <v>315.87</v>
      </c>
      <c r="G375" s="1">
        <v>0</v>
      </c>
    </row>
    <row r="376" spans="1:7" hidden="1" x14ac:dyDescent="0.2">
      <c r="A376">
        <v>205902</v>
      </c>
      <c r="B376" t="s">
        <v>295</v>
      </c>
      <c r="C376">
        <v>4</v>
      </c>
      <c r="D376" s="1">
        <v>-1307.79</v>
      </c>
      <c r="E376" s="1">
        <v>0</v>
      </c>
      <c r="F376" s="1">
        <v>0</v>
      </c>
      <c r="G376" s="1">
        <v>-1307.79</v>
      </c>
    </row>
    <row r="377" spans="1:7" hidden="1" x14ac:dyDescent="0.2">
      <c r="A377">
        <v>205947</v>
      </c>
      <c r="B377" t="s">
        <v>989</v>
      </c>
      <c r="C377">
        <v>4</v>
      </c>
      <c r="D377" s="1">
        <v>0</v>
      </c>
      <c r="E377" s="1">
        <v>349.84</v>
      </c>
      <c r="F377" s="1">
        <v>573.74</v>
      </c>
      <c r="G377" s="1">
        <v>223.9</v>
      </c>
    </row>
    <row r="378" spans="1:7" hidden="1" x14ac:dyDescent="0.2">
      <c r="A378">
        <v>205962</v>
      </c>
      <c r="B378" t="s">
        <v>1049</v>
      </c>
      <c r="C378">
        <v>4</v>
      </c>
      <c r="D378" s="1">
        <v>885.46</v>
      </c>
      <c r="E378" s="1">
        <v>1374.07</v>
      </c>
      <c r="F378" s="1">
        <v>1654.5</v>
      </c>
      <c r="G378" s="1">
        <v>1165.8900000000001</v>
      </c>
    </row>
    <row r="379" spans="1:7" hidden="1" x14ac:dyDescent="0.2">
      <c r="A379">
        <v>205992</v>
      </c>
      <c r="B379" t="s">
        <v>296</v>
      </c>
      <c r="C379">
        <v>4</v>
      </c>
      <c r="D379" s="1">
        <v>7698.5</v>
      </c>
      <c r="E379" s="1">
        <v>0</v>
      </c>
      <c r="F379" s="1">
        <v>0</v>
      </c>
      <c r="G379" s="1">
        <v>7698.5</v>
      </c>
    </row>
    <row r="380" spans="1:7" hidden="1" x14ac:dyDescent="0.2">
      <c r="A380">
        <v>205993</v>
      </c>
      <c r="B380" t="s">
        <v>766</v>
      </c>
      <c r="C380">
        <v>4</v>
      </c>
      <c r="D380" s="1">
        <v>827.04</v>
      </c>
      <c r="E380" s="1">
        <v>827.04</v>
      </c>
      <c r="F380" s="1">
        <v>0</v>
      </c>
      <c r="G380" s="1">
        <v>0</v>
      </c>
    </row>
    <row r="381" spans="1:7" hidden="1" x14ac:dyDescent="0.2">
      <c r="A381">
        <v>206043</v>
      </c>
      <c r="B381" t="s">
        <v>1120</v>
      </c>
      <c r="C381">
        <v>4</v>
      </c>
      <c r="D381" s="1">
        <v>3011</v>
      </c>
      <c r="E381" s="1">
        <v>3011</v>
      </c>
      <c r="F381" s="1">
        <v>0</v>
      </c>
      <c r="G381" s="1">
        <v>0</v>
      </c>
    </row>
    <row r="382" spans="1:7" hidden="1" x14ac:dyDescent="0.2">
      <c r="A382">
        <v>206095</v>
      </c>
      <c r="B382" t="s">
        <v>1255</v>
      </c>
      <c r="C382">
        <v>4</v>
      </c>
      <c r="D382" s="1">
        <v>0</v>
      </c>
      <c r="E382" s="1">
        <v>0</v>
      </c>
      <c r="F382" s="1">
        <v>48</v>
      </c>
      <c r="G382" s="1">
        <v>48</v>
      </c>
    </row>
    <row r="383" spans="1:7" hidden="1" x14ac:dyDescent="0.2">
      <c r="A383">
        <v>206118</v>
      </c>
      <c r="B383" t="s">
        <v>990</v>
      </c>
      <c r="C383">
        <v>4</v>
      </c>
      <c r="D383" s="1">
        <v>936</v>
      </c>
      <c r="E383" s="1">
        <v>1872</v>
      </c>
      <c r="F383" s="1">
        <v>1560</v>
      </c>
      <c r="G383" s="1">
        <v>624</v>
      </c>
    </row>
    <row r="384" spans="1:7" hidden="1" x14ac:dyDescent="0.2">
      <c r="A384">
        <v>206129</v>
      </c>
      <c r="B384" t="s">
        <v>1050</v>
      </c>
      <c r="C384">
        <v>4</v>
      </c>
      <c r="D384" s="1">
        <v>1500</v>
      </c>
      <c r="E384" s="1">
        <v>2750</v>
      </c>
      <c r="F384" s="1">
        <v>1250</v>
      </c>
      <c r="G384" s="1">
        <v>0</v>
      </c>
    </row>
    <row r="385" spans="1:7" hidden="1" x14ac:dyDescent="0.2">
      <c r="A385">
        <v>206152</v>
      </c>
      <c r="B385" t="s">
        <v>297</v>
      </c>
      <c r="C385">
        <v>4</v>
      </c>
      <c r="D385" s="1">
        <v>-64.349999999999994</v>
      </c>
      <c r="E385" s="1">
        <v>0</v>
      </c>
      <c r="F385" s="1">
        <v>0</v>
      </c>
      <c r="G385" s="1">
        <v>-64.349999999999994</v>
      </c>
    </row>
    <row r="386" spans="1:7" hidden="1" x14ac:dyDescent="0.2">
      <c r="A386">
        <v>206160</v>
      </c>
      <c r="B386" t="s">
        <v>298</v>
      </c>
      <c r="C386">
        <v>4</v>
      </c>
      <c r="D386" s="1">
        <v>533</v>
      </c>
      <c r="E386" s="1">
        <v>0</v>
      </c>
      <c r="F386" s="1">
        <v>0</v>
      </c>
      <c r="G386" s="1">
        <v>533</v>
      </c>
    </row>
    <row r="387" spans="1:7" hidden="1" x14ac:dyDescent="0.2">
      <c r="A387">
        <v>206175</v>
      </c>
      <c r="B387" t="s">
        <v>299</v>
      </c>
      <c r="C387">
        <v>4</v>
      </c>
      <c r="D387" s="1">
        <v>-757.56</v>
      </c>
      <c r="E387" s="1">
        <v>0</v>
      </c>
      <c r="F387" s="1">
        <v>0</v>
      </c>
      <c r="G387" s="1">
        <v>-757.56</v>
      </c>
    </row>
    <row r="388" spans="1:7" hidden="1" x14ac:dyDescent="0.2">
      <c r="A388">
        <v>206178</v>
      </c>
      <c r="B388" t="s">
        <v>1051</v>
      </c>
      <c r="C388">
        <v>4</v>
      </c>
      <c r="D388" s="1">
        <v>10568.5</v>
      </c>
      <c r="E388" s="1">
        <v>10568.5</v>
      </c>
      <c r="F388" s="1">
        <v>0</v>
      </c>
      <c r="G388" s="1">
        <v>0</v>
      </c>
    </row>
    <row r="389" spans="1:7" hidden="1" x14ac:dyDescent="0.2">
      <c r="A389">
        <v>206242</v>
      </c>
      <c r="B389" t="s">
        <v>300</v>
      </c>
      <c r="C389">
        <v>4</v>
      </c>
      <c r="D389" s="1">
        <v>604.79999999999995</v>
      </c>
      <c r="E389" s="1">
        <v>604.79999999999995</v>
      </c>
      <c r="F389" s="1">
        <v>0</v>
      </c>
      <c r="G389" s="1">
        <v>0</v>
      </c>
    </row>
    <row r="390" spans="1:7" hidden="1" x14ac:dyDescent="0.2">
      <c r="A390">
        <v>206305</v>
      </c>
      <c r="B390" t="s">
        <v>1052</v>
      </c>
      <c r="C390">
        <v>4</v>
      </c>
      <c r="D390" s="1">
        <v>274</v>
      </c>
      <c r="E390" s="1">
        <v>274</v>
      </c>
      <c r="F390" s="1">
        <v>0</v>
      </c>
      <c r="G390" s="1">
        <v>0</v>
      </c>
    </row>
    <row r="391" spans="1:7" hidden="1" x14ac:dyDescent="0.2">
      <c r="A391">
        <v>206306</v>
      </c>
      <c r="B391" t="s">
        <v>991</v>
      </c>
      <c r="C391">
        <v>4</v>
      </c>
      <c r="D391" s="1">
        <v>1802</v>
      </c>
      <c r="E391" s="1">
        <v>3859.26</v>
      </c>
      <c r="F391" s="1">
        <v>3164.5</v>
      </c>
      <c r="G391" s="1">
        <v>1107.24</v>
      </c>
    </row>
    <row r="392" spans="1:7" hidden="1" x14ac:dyDescent="0.2">
      <c r="A392">
        <v>206360</v>
      </c>
      <c r="B392" t="s">
        <v>1053</v>
      </c>
      <c r="C392">
        <v>4</v>
      </c>
      <c r="D392" s="1">
        <v>0</v>
      </c>
      <c r="E392" s="1">
        <v>19841.88</v>
      </c>
      <c r="F392" s="1">
        <v>19841.88</v>
      </c>
      <c r="G392" s="1">
        <v>0</v>
      </c>
    </row>
    <row r="393" spans="1:7" hidden="1" x14ac:dyDescent="0.2">
      <c r="A393">
        <v>206410</v>
      </c>
      <c r="B393" t="s">
        <v>1256</v>
      </c>
      <c r="C393">
        <v>4</v>
      </c>
      <c r="D393" s="1">
        <v>0</v>
      </c>
      <c r="E393" s="1">
        <v>0</v>
      </c>
      <c r="F393" s="1">
        <v>85.68</v>
      </c>
      <c r="G393" s="1">
        <v>85.68</v>
      </c>
    </row>
    <row r="394" spans="1:7" hidden="1" x14ac:dyDescent="0.2">
      <c r="A394">
        <v>206450</v>
      </c>
      <c r="B394" t="s">
        <v>1121</v>
      </c>
      <c r="C394">
        <v>4</v>
      </c>
      <c r="D394" s="1">
        <v>1761</v>
      </c>
      <c r="E394" s="1">
        <v>1761</v>
      </c>
      <c r="F394" s="1">
        <v>978</v>
      </c>
      <c r="G394" s="1">
        <v>978</v>
      </c>
    </row>
    <row r="395" spans="1:7" hidden="1" x14ac:dyDescent="0.2">
      <c r="A395">
        <v>206507</v>
      </c>
      <c r="B395" t="s">
        <v>301</v>
      </c>
      <c r="C395">
        <v>4</v>
      </c>
      <c r="D395" s="1">
        <v>724.75</v>
      </c>
      <c r="E395" s="1">
        <v>0</v>
      </c>
      <c r="F395" s="1">
        <v>0</v>
      </c>
      <c r="G395" s="1">
        <v>724.75</v>
      </c>
    </row>
    <row r="396" spans="1:7" hidden="1" x14ac:dyDescent="0.2">
      <c r="A396">
        <v>206557</v>
      </c>
      <c r="B396" t="s">
        <v>1257</v>
      </c>
      <c r="C396">
        <v>4</v>
      </c>
      <c r="D396" s="1">
        <v>0</v>
      </c>
      <c r="E396" s="1">
        <v>0</v>
      </c>
      <c r="F396" s="1">
        <v>1280</v>
      </c>
      <c r="G396" s="1">
        <v>1280</v>
      </c>
    </row>
    <row r="397" spans="1:7" hidden="1" x14ac:dyDescent="0.2">
      <c r="A397">
        <v>206564</v>
      </c>
      <c r="B397" t="s">
        <v>992</v>
      </c>
      <c r="C397">
        <v>4</v>
      </c>
      <c r="D397" s="1">
        <v>2317.54</v>
      </c>
      <c r="E397" s="1">
        <v>3615.05</v>
      </c>
      <c r="F397" s="1">
        <v>5507.49</v>
      </c>
      <c r="G397" s="1">
        <v>4209.9799999999996</v>
      </c>
    </row>
    <row r="398" spans="1:7" hidden="1" x14ac:dyDescent="0.2">
      <c r="A398">
        <v>206572</v>
      </c>
      <c r="B398" t="s">
        <v>882</v>
      </c>
      <c r="C398">
        <v>4</v>
      </c>
      <c r="D398" s="1">
        <v>0</v>
      </c>
      <c r="E398" s="1">
        <v>275</v>
      </c>
      <c r="F398" s="1">
        <v>275</v>
      </c>
      <c r="G398" s="1">
        <v>0</v>
      </c>
    </row>
    <row r="399" spans="1:7" hidden="1" x14ac:dyDescent="0.2">
      <c r="A399">
        <v>206635</v>
      </c>
      <c r="B399" t="s">
        <v>1258</v>
      </c>
      <c r="C399">
        <v>4</v>
      </c>
      <c r="D399" s="1">
        <v>0</v>
      </c>
      <c r="E399" s="1">
        <v>375</v>
      </c>
      <c r="F399" s="1">
        <v>375</v>
      </c>
      <c r="G399" s="1">
        <v>0</v>
      </c>
    </row>
    <row r="400" spans="1:7" hidden="1" x14ac:dyDescent="0.2">
      <c r="A400">
        <v>206650</v>
      </c>
      <c r="B400" t="s">
        <v>828</v>
      </c>
      <c r="C400">
        <v>4</v>
      </c>
      <c r="D400" s="1">
        <v>275</v>
      </c>
      <c r="E400" s="1">
        <v>205</v>
      </c>
      <c r="F400" s="1">
        <v>0</v>
      </c>
      <c r="G400" s="1">
        <v>70</v>
      </c>
    </row>
    <row r="401" spans="1:7" hidden="1" x14ac:dyDescent="0.2">
      <c r="A401">
        <v>206715</v>
      </c>
      <c r="B401" t="s">
        <v>883</v>
      </c>
      <c r="C401">
        <v>4</v>
      </c>
      <c r="D401" s="1">
        <v>0</v>
      </c>
      <c r="E401" s="1">
        <v>36273.17</v>
      </c>
      <c r="F401" s="1">
        <v>36273.17</v>
      </c>
      <c r="G401" s="1">
        <v>0</v>
      </c>
    </row>
    <row r="402" spans="1:7" hidden="1" x14ac:dyDescent="0.2">
      <c r="A402">
        <v>206795</v>
      </c>
      <c r="B402" t="s">
        <v>993</v>
      </c>
      <c r="C402">
        <v>4</v>
      </c>
      <c r="D402" s="1">
        <v>0</v>
      </c>
      <c r="E402" s="1">
        <v>982</v>
      </c>
      <c r="F402" s="1">
        <v>982</v>
      </c>
      <c r="G402" s="1">
        <v>0</v>
      </c>
    </row>
    <row r="403" spans="1:7" hidden="1" x14ac:dyDescent="0.2">
      <c r="A403">
        <v>206804</v>
      </c>
      <c r="B403" t="s">
        <v>1122</v>
      </c>
      <c r="C403">
        <v>4</v>
      </c>
      <c r="D403" s="1">
        <v>0</v>
      </c>
      <c r="E403" s="1">
        <v>9448.69</v>
      </c>
      <c r="F403" s="1">
        <v>9592.57</v>
      </c>
      <c r="G403" s="1">
        <v>143.88</v>
      </c>
    </row>
    <row r="404" spans="1:7" hidden="1" x14ac:dyDescent="0.2">
      <c r="A404">
        <v>206940</v>
      </c>
      <c r="B404" t="s">
        <v>302</v>
      </c>
      <c r="C404">
        <v>4</v>
      </c>
      <c r="D404" s="1">
        <v>6890.5</v>
      </c>
      <c r="E404" s="1">
        <v>0</v>
      </c>
      <c r="F404" s="1">
        <v>0</v>
      </c>
      <c r="G404" s="1">
        <v>6890.5</v>
      </c>
    </row>
    <row r="405" spans="1:7" hidden="1" x14ac:dyDescent="0.2">
      <c r="A405">
        <v>206976</v>
      </c>
      <c r="B405" t="s">
        <v>1123</v>
      </c>
      <c r="C405">
        <v>4</v>
      </c>
      <c r="D405" s="1">
        <v>0</v>
      </c>
      <c r="E405" s="1">
        <v>2387.09</v>
      </c>
      <c r="F405" s="1">
        <v>2387.09</v>
      </c>
      <c r="G405" s="1">
        <v>0</v>
      </c>
    </row>
    <row r="406" spans="1:7" hidden="1" x14ac:dyDescent="0.2">
      <c r="A406">
        <v>207021</v>
      </c>
      <c r="B406" t="s">
        <v>303</v>
      </c>
      <c r="C406">
        <v>4</v>
      </c>
      <c r="D406" s="1">
        <v>400</v>
      </c>
      <c r="E406" s="1">
        <v>0</v>
      </c>
      <c r="F406" s="1">
        <v>0</v>
      </c>
      <c r="G406" s="1">
        <v>400</v>
      </c>
    </row>
    <row r="407" spans="1:7" hidden="1" x14ac:dyDescent="0.2">
      <c r="A407">
        <v>207034</v>
      </c>
      <c r="B407" t="s">
        <v>767</v>
      </c>
      <c r="C407">
        <v>4</v>
      </c>
      <c r="D407" s="1">
        <v>3500</v>
      </c>
      <c r="E407" s="1">
        <v>0</v>
      </c>
      <c r="F407" s="1">
        <v>0</v>
      </c>
      <c r="G407" s="1">
        <v>3500</v>
      </c>
    </row>
    <row r="408" spans="1:7" hidden="1" x14ac:dyDescent="0.2">
      <c r="A408">
        <v>207053</v>
      </c>
      <c r="B408" t="s">
        <v>994</v>
      </c>
      <c r="C408">
        <v>4</v>
      </c>
      <c r="D408" s="1">
        <v>4436.57</v>
      </c>
      <c r="E408" s="1">
        <v>4229.62</v>
      </c>
      <c r="F408" s="1">
        <v>206.95</v>
      </c>
      <c r="G408" s="1">
        <v>413.9</v>
      </c>
    </row>
    <row r="409" spans="1:7" hidden="1" x14ac:dyDescent="0.2">
      <c r="A409">
        <v>207106</v>
      </c>
      <c r="B409" t="s">
        <v>304</v>
      </c>
      <c r="C409">
        <v>4</v>
      </c>
      <c r="D409" s="1">
        <v>5151.47</v>
      </c>
      <c r="E409" s="1">
        <v>7993.35</v>
      </c>
      <c r="F409" s="1">
        <v>10657.08</v>
      </c>
      <c r="G409" s="1">
        <v>7815.2</v>
      </c>
    </row>
    <row r="410" spans="1:7" hidden="1" x14ac:dyDescent="0.2">
      <c r="A410">
        <v>207185</v>
      </c>
      <c r="B410" t="s">
        <v>995</v>
      </c>
      <c r="C410">
        <v>4</v>
      </c>
      <c r="D410" s="1">
        <v>4260.07</v>
      </c>
      <c r="E410" s="1">
        <v>4872.4399999999996</v>
      </c>
      <c r="F410" s="1">
        <v>612.37</v>
      </c>
      <c r="G410" s="1">
        <v>0</v>
      </c>
    </row>
    <row r="411" spans="1:7" hidden="1" x14ac:dyDescent="0.2">
      <c r="A411">
        <v>207207</v>
      </c>
      <c r="B411" t="s">
        <v>305</v>
      </c>
      <c r="C411">
        <v>4</v>
      </c>
      <c r="D411" s="1">
        <v>782.75</v>
      </c>
      <c r="E411" s="1">
        <v>0</v>
      </c>
      <c r="F411" s="1">
        <v>0</v>
      </c>
      <c r="G411" s="1">
        <v>782.75</v>
      </c>
    </row>
    <row r="412" spans="1:7" hidden="1" x14ac:dyDescent="0.2">
      <c r="A412">
        <v>207229</v>
      </c>
      <c r="B412" t="s">
        <v>974</v>
      </c>
      <c r="C412">
        <v>4</v>
      </c>
      <c r="D412" s="1">
        <v>390</v>
      </c>
      <c r="E412" s="1">
        <v>390</v>
      </c>
      <c r="F412" s="1">
        <v>282</v>
      </c>
      <c r="G412" s="1">
        <v>282</v>
      </c>
    </row>
    <row r="413" spans="1:7" hidden="1" x14ac:dyDescent="0.2">
      <c r="A413">
        <v>207256</v>
      </c>
      <c r="B413" t="s">
        <v>996</v>
      </c>
      <c r="C413">
        <v>4</v>
      </c>
      <c r="D413" s="1">
        <v>257.39999999999998</v>
      </c>
      <c r="E413" s="1">
        <v>0</v>
      </c>
      <c r="F413" s="1">
        <v>0</v>
      </c>
      <c r="G413" s="1">
        <v>257.39999999999998</v>
      </c>
    </row>
    <row r="414" spans="1:7" hidden="1" x14ac:dyDescent="0.2">
      <c r="A414">
        <v>207314</v>
      </c>
      <c r="B414" t="s">
        <v>829</v>
      </c>
      <c r="C414">
        <v>4</v>
      </c>
      <c r="D414" s="1">
        <v>321473.01</v>
      </c>
      <c r="E414" s="1">
        <v>175837.96</v>
      </c>
      <c r="F414" s="1">
        <v>15904.7</v>
      </c>
      <c r="G414" s="1">
        <v>161539.75</v>
      </c>
    </row>
    <row r="415" spans="1:7" hidden="1" x14ac:dyDescent="0.2">
      <c r="A415">
        <v>207323</v>
      </c>
      <c r="B415" t="s">
        <v>1054</v>
      </c>
      <c r="C415">
        <v>4</v>
      </c>
      <c r="D415" s="1">
        <v>2705.08</v>
      </c>
      <c r="E415" s="1">
        <v>2705.08</v>
      </c>
      <c r="F415" s="1">
        <v>1811.46</v>
      </c>
      <c r="G415" s="1">
        <v>1811.46</v>
      </c>
    </row>
    <row r="416" spans="1:7" hidden="1" x14ac:dyDescent="0.2">
      <c r="A416">
        <v>207377</v>
      </c>
      <c r="B416" t="s">
        <v>997</v>
      </c>
      <c r="C416">
        <v>4</v>
      </c>
      <c r="D416" s="1">
        <v>1753.36</v>
      </c>
      <c r="E416" s="1">
        <v>2900.09</v>
      </c>
      <c r="F416" s="1">
        <v>1735.07</v>
      </c>
      <c r="G416" s="1">
        <v>588.34</v>
      </c>
    </row>
    <row r="417" spans="1:7" hidden="1" x14ac:dyDescent="0.2">
      <c r="A417">
        <v>207384</v>
      </c>
      <c r="B417" t="s">
        <v>847</v>
      </c>
      <c r="C417">
        <v>4</v>
      </c>
      <c r="D417" s="1">
        <v>1907</v>
      </c>
      <c r="E417" s="1">
        <v>0</v>
      </c>
      <c r="F417" s="1">
        <v>0</v>
      </c>
      <c r="G417" s="1">
        <v>1907</v>
      </c>
    </row>
    <row r="418" spans="1:7" hidden="1" x14ac:dyDescent="0.2">
      <c r="A418">
        <v>207395</v>
      </c>
      <c r="B418" t="s">
        <v>998</v>
      </c>
      <c r="C418">
        <v>4</v>
      </c>
      <c r="D418" s="1">
        <v>935</v>
      </c>
      <c r="E418" s="1">
        <v>935</v>
      </c>
      <c r="F418" s="1">
        <v>0</v>
      </c>
      <c r="G418" s="1">
        <v>0</v>
      </c>
    </row>
    <row r="419" spans="1:7" hidden="1" x14ac:dyDescent="0.2">
      <c r="A419">
        <v>207414</v>
      </c>
      <c r="B419" t="s">
        <v>1055</v>
      </c>
      <c r="C419">
        <v>4</v>
      </c>
      <c r="D419" s="1">
        <v>0</v>
      </c>
      <c r="E419" s="1">
        <v>474.47</v>
      </c>
      <c r="F419" s="1">
        <v>474.47</v>
      </c>
      <c r="G419" s="1">
        <v>0</v>
      </c>
    </row>
    <row r="420" spans="1:7" hidden="1" x14ac:dyDescent="0.2">
      <c r="A420">
        <v>207453</v>
      </c>
      <c r="B420" t="s">
        <v>999</v>
      </c>
      <c r="C420">
        <v>4</v>
      </c>
      <c r="D420" s="1">
        <v>390</v>
      </c>
      <c r="E420" s="1">
        <v>390</v>
      </c>
      <c r="F420" s="1">
        <v>780</v>
      </c>
      <c r="G420" s="1">
        <v>780</v>
      </c>
    </row>
    <row r="421" spans="1:7" hidden="1" x14ac:dyDescent="0.2">
      <c r="A421">
        <v>207580</v>
      </c>
      <c r="B421" t="s">
        <v>975</v>
      </c>
      <c r="C421">
        <v>4</v>
      </c>
      <c r="D421" s="1">
        <v>569.1</v>
      </c>
      <c r="E421" s="1">
        <v>569.1</v>
      </c>
      <c r="F421" s="1">
        <v>0</v>
      </c>
      <c r="G421" s="1">
        <v>0</v>
      </c>
    </row>
    <row r="422" spans="1:7" hidden="1" x14ac:dyDescent="0.2">
      <c r="A422">
        <v>207583</v>
      </c>
      <c r="B422" t="s">
        <v>306</v>
      </c>
      <c r="C422">
        <v>4</v>
      </c>
      <c r="D422" s="1">
        <v>29246.15</v>
      </c>
      <c r="E422" s="1">
        <v>29246.15</v>
      </c>
      <c r="F422" s="1">
        <v>29246.15</v>
      </c>
      <c r="G422" s="1">
        <v>29246.15</v>
      </c>
    </row>
    <row r="423" spans="1:7" hidden="1" x14ac:dyDescent="0.2">
      <c r="A423">
        <v>207592</v>
      </c>
      <c r="B423" t="s">
        <v>307</v>
      </c>
      <c r="C423">
        <v>4</v>
      </c>
      <c r="D423" s="1">
        <v>0</v>
      </c>
      <c r="E423" s="1">
        <v>3692.85</v>
      </c>
      <c r="F423" s="1">
        <v>3683.1</v>
      </c>
      <c r="G423" s="1">
        <v>-9.75</v>
      </c>
    </row>
    <row r="424" spans="1:7" hidden="1" x14ac:dyDescent="0.2">
      <c r="A424">
        <v>207595</v>
      </c>
      <c r="B424" t="s">
        <v>1124</v>
      </c>
      <c r="C424">
        <v>4</v>
      </c>
      <c r="D424" s="1">
        <v>0</v>
      </c>
      <c r="E424" s="1">
        <v>0</v>
      </c>
      <c r="F424" s="1">
        <v>1149</v>
      </c>
      <c r="G424" s="1">
        <v>1149</v>
      </c>
    </row>
    <row r="425" spans="1:7" hidden="1" x14ac:dyDescent="0.2">
      <c r="A425">
        <v>207653</v>
      </c>
      <c r="B425" t="s">
        <v>1259</v>
      </c>
      <c r="C425">
        <v>4</v>
      </c>
      <c r="D425" s="1">
        <v>0</v>
      </c>
      <c r="E425" s="1">
        <v>0</v>
      </c>
      <c r="F425" s="1">
        <v>768</v>
      </c>
      <c r="G425" s="1">
        <v>768</v>
      </c>
    </row>
    <row r="426" spans="1:7" hidden="1" x14ac:dyDescent="0.2">
      <c r="A426">
        <v>207661</v>
      </c>
      <c r="B426" t="s">
        <v>1125</v>
      </c>
      <c r="C426">
        <v>4</v>
      </c>
      <c r="D426" s="1">
        <v>0</v>
      </c>
      <c r="E426" s="1">
        <v>0</v>
      </c>
      <c r="F426" s="1">
        <v>747</v>
      </c>
      <c r="G426" s="1">
        <v>747</v>
      </c>
    </row>
    <row r="427" spans="1:7" hidden="1" x14ac:dyDescent="0.2">
      <c r="A427">
        <v>207664</v>
      </c>
      <c r="B427" t="s">
        <v>308</v>
      </c>
      <c r="C427">
        <v>4</v>
      </c>
      <c r="D427" s="1">
        <v>0.01</v>
      </c>
      <c r="E427" s="1">
        <v>0</v>
      </c>
      <c r="F427" s="1">
        <v>0</v>
      </c>
      <c r="G427" s="1">
        <v>0.01</v>
      </c>
    </row>
    <row r="428" spans="1:7" hidden="1" x14ac:dyDescent="0.2">
      <c r="A428">
        <v>207672</v>
      </c>
      <c r="B428" t="s">
        <v>309</v>
      </c>
      <c r="C428">
        <v>4</v>
      </c>
      <c r="D428" s="1">
        <v>8738.6</v>
      </c>
      <c r="E428" s="1">
        <v>13996</v>
      </c>
      <c r="F428" s="1">
        <v>11556</v>
      </c>
      <c r="G428" s="1">
        <v>6298.6</v>
      </c>
    </row>
    <row r="429" spans="1:7" hidden="1" x14ac:dyDescent="0.2">
      <c r="A429">
        <v>207725</v>
      </c>
      <c r="B429" t="s">
        <v>1056</v>
      </c>
      <c r="C429">
        <v>4</v>
      </c>
      <c r="D429" s="1">
        <v>3933.39</v>
      </c>
      <c r="E429" s="1">
        <v>6669.57</v>
      </c>
      <c r="F429" s="1">
        <v>24386.94</v>
      </c>
      <c r="G429" s="1">
        <v>21650.76</v>
      </c>
    </row>
    <row r="430" spans="1:7" hidden="1" x14ac:dyDescent="0.2">
      <c r="A430">
        <v>207747</v>
      </c>
      <c r="B430" t="s">
        <v>791</v>
      </c>
      <c r="C430">
        <v>4</v>
      </c>
      <c r="D430" s="1">
        <v>11225.03</v>
      </c>
      <c r="E430" s="1">
        <v>11225.03</v>
      </c>
      <c r="F430" s="1">
        <v>9164.52</v>
      </c>
      <c r="G430" s="1">
        <v>9164.52</v>
      </c>
    </row>
    <row r="431" spans="1:7" hidden="1" x14ac:dyDescent="0.2">
      <c r="A431">
        <v>207824</v>
      </c>
      <c r="B431" t="s">
        <v>1126</v>
      </c>
      <c r="C431">
        <v>4</v>
      </c>
      <c r="D431" s="1">
        <v>4242</v>
      </c>
      <c r="E431" s="1">
        <v>7229</v>
      </c>
      <c r="F431" s="1">
        <v>21545</v>
      </c>
      <c r="G431" s="1">
        <v>18558</v>
      </c>
    </row>
    <row r="432" spans="1:7" hidden="1" x14ac:dyDescent="0.2">
      <c r="A432">
        <v>207840</v>
      </c>
      <c r="B432" t="s">
        <v>1057</v>
      </c>
      <c r="C432">
        <v>4</v>
      </c>
      <c r="D432" s="1">
        <v>585</v>
      </c>
      <c r="E432" s="1">
        <v>585</v>
      </c>
      <c r="F432" s="1">
        <v>200</v>
      </c>
      <c r="G432" s="1">
        <v>200</v>
      </c>
    </row>
    <row r="433" spans="1:7" hidden="1" x14ac:dyDescent="0.2">
      <c r="A433">
        <v>207859</v>
      </c>
      <c r="B433" t="s">
        <v>1000</v>
      </c>
      <c r="C433">
        <v>4</v>
      </c>
      <c r="D433" s="1">
        <v>3069.3</v>
      </c>
      <c r="E433" s="1">
        <v>11909.1</v>
      </c>
      <c r="F433" s="1">
        <v>16287.97</v>
      </c>
      <c r="G433" s="1">
        <v>7448.17</v>
      </c>
    </row>
    <row r="434" spans="1:7" hidden="1" x14ac:dyDescent="0.2">
      <c r="A434">
        <v>207907</v>
      </c>
      <c r="B434" t="s">
        <v>1260</v>
      </c>
      <c r="C434">
        <v>4</v>
      </c>
      <c r="D434" s="1">
        <v>0</v>
      </c>
      <c r="E434" s="1">
        <v>0</v>
      </c>
      <c r="F434" s="1">
        <v>503.2</v>
      </c>
      <c r="G434" s="1">
        <v>503.2</v>
      </c>
    </row>
    <row r="435" spans="1:7" hidden="1" x14ac:dyDescent="0.2">
      <c r="A435">
        <v>207972</v>
      </c>
      <c r="B435" t="s">
        <v>1261</v>
      </c>
      <c r="C435">
        <v>4</v>
      </c>
      <c r="D435" s="1">
        <v>0</v>
      </c>
      <c r="E435" s="1">
        <v>1350</v>
      </c>
      <c r="F435" s="1">
        <v>1350</v>
      </c>
      <c r="G435" s="1">
        <v>0</v>
      </c>
    </row>
    <row r="436" spans="1:7" hidden="1" x14ac:dyDescent="0.2">
      <c r="A436">
        <v>208051</v>
      </c>
      <c r="B436" t="s">
        <v>1001</v>
      </c>
      <c r="C436">
        <v>4</v>
      </c>
      <c r="D436" s="1">
        <v>4550</v>
      </c>
      <c r="E436" s="1">
        <v>4550</v>
      </c>
      <c r="F436" s="1">
        <v>0</v>
      </c>
      <c r="G436" s="1">
        <v>0</v>
      </c>
    </row>
    <row r="437" spans="1:7" hidden="1" x14ac:dyDescent="0.2">
      <c r="A437">
        <v>208060</v>
      </c>
      <c r="B437" t="s">
        <v>1002</v>
      </c>
      <c r="C437">
        <v>4</v>
      </c>
      <c r="D437" s="1">
        <v>0</v>
      </c>
      <c r="E437" s="1">
        <v>65.52</v>
      </c>
      <c r="F437" s="1">
        <v>65.52</v>
      </c>
      <c r="G437" s="1">
        <v>0</v>
      </c>
    </row>
    <row r="438" spans="1:7" hidden="1" x14ac:dyDescent="0.2">
      <c r="A438">
        <v>208069</v>
      </c>
      <c r="B438" t="s">
        <v>1003</v>
      </c>
      <c r="C438">
        <v>4</v>
      </c>
      <c r="D438" s="1">
        <v>0</v>
      </c>
      <c r="E438" s="1">
        <v>67.459999999999994</v>
      </c>
      <c r="F438" s="1">
        <v>67.459999999999994</v>
      </c>
      <c r="G438" s="1">
        <v>0</v>
      </c>
    </row>
    <row r="439" spans="1:7" hidden="1" x14ac:dyDescent="0.2">
      <c r="A439">
        <v>208085</v>
      </c>
      <c r="B439" t="s">
        <v>884</v>
      </c>
      <c r="C439">
        <v>4</v>
      </c>
      <c r="D439" s="1">
        <v>330.81</v>
      </c>
      <c r="E439" s="1">
        <v>330.81</v>
      </c>
      <c r="F439" s="1">
        <v>373.02</v>
      </c>
      <c r="G439" s="1">
        <v>373.02</v>
      </c>
    </row>
    <row r="440" spans="1:7" hidden="1" x14ac:dyDescent="0.2">
      <c r="A440">
        <v>208162</v>
      </c>
      <c r="B440" t="s">
        <v>1262</v>
      </c>
      <c r="C440">
        <v>4</v>
      </c>
      <c r="D440" s="1">
        <v>0</v>
      </c>
      <c r="E440" s="1">
        <v>0</v>
      </c>
      <c r="F440" s="1">
        <v>11441</v>
      </c>
      <c r="G440" s="1">
        <v>11441</v>
      </c>
    </row>
    <row r="441" spans="1:7" hidden="1" x14ac:dyDescent="0.2">
      <c r="A441">
        <v>208163</v>
      </c>
      <c r="B441" t="s">
        <v>310</v>
      </c>
      <c r="C441">
        <v>4</v>
      </c>
      <c r="D441" s="1">
        <v>484.74</v>
      </c>
      <c r="E441" s="1">
        <v>662.2</v>
      </c>
      <c r="F441" s="1">
        <v>868.36</v>
      </c>
      <c r="G441" s="1">
        <v>690.9</v>
      </c>
    </row>
    <row r="442" spans="1:7" hidden="1" x14ac:dyDescent="0.2">
      <c r="A442">
        <v>208185</v>
      </c>
      <c r="B442" t="s">
        <v>1127</v>
      </c>
      <c r="C442">
        <v>4</v>
      </c>
      <c r="D442" s="1">
        <v>1995</v>
      </c>
      <c r="E442" s="1">
        <v>1995</v>
      </c>
      <c r="F442" s="1">
        <v>1995</v>
      </c>
      <c r="G442" s="1">
        <v>1995</v>
      </c>
    </row>
    <row r="443" spans="1:7" hidden="1" x14ac:dyDescent="0.2">
      <c r="A443">
        <v>208203</v>
      </c>
      <c r="B443" t="s">
        <v>311</v>
      </c>
      <c r="C443">
        <v>4</v>
      </c>
      <c r="D443" s="1">
        <v>895.3</v>
      </c>
      <c r="E443" s="1">
        <v>895.3</v>
      </c>
      <c r="F443" s="1">
        <v>0</v>
      </c>
      <c r="G443" s="1">
        <v>0</v>
      </c>
    </row>
    <row r="444" spans="1:7" hidden="1" x14ac:dyDescent="0.2">
      <c r="A444">
        <v>208223</v>
      </c>
      <c r="B444" t="s">
        <v>1058</v>
      </c>
      <c r="C444">
        <v>4</v>
      </c>
      <c r="D444" s="1">
        <v>0</v>
      </c>
      <c r="E444" s="1">
        <v>0</v>
      </c>
      <c r="F444" s="1">
        <v>11581</v>
      </c>
      <c r="G444" s="1">
        <v>11581</v>
      </c>
    </row>
    <row r="445" spans="1:7" hidden="1" x14ac:dyDescent="0.2">
      <c r="A445">
        <v>208322</v>
      </c>
      <c r="B445" t="s">
        <v>830</v>
      </c>
      <c r="C445">
        <v>4</v>
      </c>
      <c r="D445" s="1">
        <v>3720.9</v>
      </c>
      <c r="E445" s="1">
        <v>0</v>
      </c>
      <c r="F445" s="1">
        <v>0</v>
      </c>
      <c r="G445" s="1">
        <v>3720.9</v>
      </c>
    </row>
    <row r="446" spans="1:7" hidden="1" x14ac:dyDescent="0.2">
      <c r="A446">
        <v>208344</v>
      </c>
      <c r="B446" t="s">
        <v>312</v>
      </c>
      <c r="C446">
        <v>4</v>
      </c>
      <c r="D446" s="1">
        <v>2512.44</v>
      </c>
      <c r="E446" s="1">
        <v>2574.36</v>
      </c>
      <c r="F446" s="1">
        <v>1599.28</v>
      </c>
      <c r="G446" s="1">
        <v>1537.36</v>
      </c>
    </row>
    <row r="447" spans="1:7" hidden="1" x14ac:dyDescent="0.2">
      <c r="A447">
        <v>208369</v>
      </c>
      <c r="B447" t="s">
        <v>1059</v>
      </c>
      <c r="C447">
        <v>4</v>
      </c>
      <c r="D447" s="1">
        <v>273.60000000000002</v>
      </c>
      <c r="E447" s="1">
        <v>273.60000000000002</v>
      </c>
      <c r="F447" s="1">
        <v>196</v>
      </c>
      <c r="G447" s="1">
        <v>196</v>
      </c>
    </row>
    <row r="448" spans="1:7" hidden="1" x14ac:dyDescent="0.2">
      <c r="A448">
        <v>208373</v>
      </c>
      <c r="B448" t="s">
        <v>1004</v>
      </c>
      <c r="C448">
        <v>4</v>
      </c>
      <c r="D448" s="1">
        <v>1470.52</v>
      </c>
      <c r="E448" s="1">
        <v>2077.71</v>
      </c>
      <c r="F448" s="1">
        <v>1614.54</v>
      </c>
      <c r="G448" s="1">
        <v>1007.35</v>
      </c>
    </row>
    <row r="449" spans="1:7" hidden="1" x14ac:dyDescent="0.2">
      <c r="A449">
        <v>208375</v>
      </c>
      <c r="B449" t="s">
        <v>937</v>
      </c>
      <c r="C449">
        <v>4</v>
      </c>
      <c r="D449" s="1">
        <v>394.8</v>
      </c>
      <c r="E449" s="1">
        <v>2350.8000000000002</v>
      </c>
      <c r="F449" s="1">
        <v>3027.1</v>
      </c>
      <c r="G449" s="1">
        <v>1071.0999999999999</v>
      </c>
    </row>
    <row r="450" spans="1:7" hidden="1" x14ac:dyDescent="0.2">
      <c r="A450">
        <v>208417</v>
      </c>
      <c r="B450" t="s">
        <v>1128</v>
      </c>
      <c r="C450">
        <v>4</v>
      </c>
      <c r="D450" s="1">
        <v>211.5</v>
      </c>
      <c r="E450" s="1">
        <v>211.5</v>
      </c>
      <c r="F450" s="1">
        <v>0</v>
      </c>
      <c r="G450" s="1">
        <v>0</v>
      </c>
    </row>
    <row r="451" spans="1:7" hidden="1" x14ac:dyDescent="0.2">
      <c r="A451">
        <v>208420</v>
      </c>
      <c r="B451" t="s">
        <v>1060</v>
      </c>
      <c r="C451">
        <v>4</v>
      </c>
      <c r="D451" s="1">
        <v>0</v>
      </c>
      <c r="E451" s="1">
        <v>2865.76</v>
      </c>
      <c r="F451" s="1">
        <v>2865.76</v>
      </c>
      <c r="G451" s="1">
        <v>0</v>
      </c>
    </row>
    <row r="452" spans="1:7" hidden="1" x14ac:dyDescent="0.2">
      <c r="A452">
        <v>208501</v>
      </c>
      <c r="B452" t="s">
        <v>313</v>
      </c>
      <c r="C452">
        <v>4</v>
      </c>
      <c r="D452" s="1">
        <v>0</v>
      </c>
      <c r="E452" s="1">
        <v>503.01</v>
      </c>
      <c r="F452" s="1">
        <v>503.01</v>
      </c>
      <c r="G452" s="1">
        <v>0</v>
      </c>
    </row>
    <row r="453" spans="1:7" hidden="1" x14ac:dyDescent="0.2">
      <c r="A453">
        <v>208581</v>
      </c>
      <c r="B453" t="s">
        <v>885</v>
      </c>
      <c r="C453">
        <v>4</v>
      </c>
      <c r="D453" s="1">
        <v>10162.200000000001</v>
      </c>
      <c r="E453" s="1">
        <v>10162.200000000001</v>
      </c>
      <c r="F453" s="1">
        <v>1732.4</v>
      </c>
      <c r="G453" s="1">
        <v>1732.4</v>
      </c>
    </row>
    <row r="454" spans="1:7" hidden="1" x14ac:dyDescent="0.2">
      <c r="A454">
        <v>208592</v>
      </c>
      <c r="B454" t="s">
        <v>1129</v>
      </c>
      <c r="C454">
        <v>4</v>
      </c>
      <c r="D454" s="1">
        <v>1750</v>
      </c>
      <c r="E454" s="1">
        <v>1750</v>
      </c>
      <c r="F454" s="1">
        <v>0</v>
      </c>
      <c r="G454" s="1">
        <v>0</v>
      </c>
    </row>
    <row r="455" spans="1:7" hidden="1" x14ac:dyDescent="0.2">
      <c r="A455">
        <v>208593</v>
      </c>
      <c r="B455" t="s">
        <v>976</v>
      </c>
      <c r="C455">
        <v>4</v>
      </c>
      <c r="D455" s="1">
        <v>814</v>
      </c>
      <c r="E455" s="1">
        <v>814</v>
      </c>
      <c r="F455" s="1">
        <v>1725</v>
      </c>
      <c r="G455" s="1">
        <v>1725</v>
      </c>
    </row>
    <row r="456" spans="1:7" hidden="1" x14ac:dyDescent="0.2">
      <c r="A456">
        <v>208685</v>
      </c>
      <c r="B456" t="s">
        <v>809</v>
      </c>
      <c r="C456">
        <v>4</v>
      </c>
      <c r="D456" s="1">
        <v>826.74</v>
      </c>
      <c r="E456" s="1">
        <v>0</v>
      </c>
      <c r="F456" s="1">
        <v>0</v>
      </c>
      <c r="G456" s="1">
        <v>826.74</v>
      </c>
    </row>
    <row r="457" spans="1:7" hidden="1" x14ac:dyDescent="0.2">
      <c r="A457">
        <v>208695</v>
      </c>
      <c r="B457" t="s">
        <v>1263</v>
      </c>
      <c r="C457">
        <v>4</v>
      </c>
      <c r="D457" s="1">
        <v>0</v>
      </c>
      <c r="E457" s="1">
        <v>1346.33</v>
      </c>
      <c r="F457" s="1">
        <v>1346.33</v>
      </c>
      <c r="G457" s="1">
        <v>0</v>
      </c>
    </row>
    <row r="458" spans="1:7" hidden="1" x14ac:dyDescent="0.2">
      <c r="A458">
        <v>208790</v>
      </c>
      <c r="B458" t="s">
        <v>977</v>
      </c>
      <c r="C458">
        <v>4</v>
      </c>
      <c r="D458" s="1">
        <v>0</v>
      </c>
      <c r="E458" s="1">
        <v>300</v>
      </c>
      <c r="F458" s="1">
        <v>300</v>
      </c>
      <c r="G458" s="1">
        <v>0</v>
      </c>
    </row>
    <row r="459" spans="1:7" hidden="1" x14ac:dyDescent="0.2">
      <c r="A459">
        <v>208811</v>
      </c>
      <c r="B459" t="s">
        <v>1061</v>
      </c>
      <c r="C459">
        <v>4</v>
      </c>
      <c r="D459" s="1">
        <v>0</v>
      </c>
      <c r="E459" s="1">
        <v>54650</v>
      </c>
      <c r="F459" s="1">
        <v>54650</v>
      </c>
      <c r="G459" s="1">
        <v>0</v>
      </c>
    </row>
    <row r="460" spans="1:7" hidden="1" x14ac:dyDescent="0.2">
      <c r="A460">
        <v>208852</v>
      </c>
      <c r="B460" t="s">
        <v>1062</v>
      </c>
      <c r="C460">
        <v>4</v>
      </c>
      <c r="D460" s="1">
        <v>0</v>
      </c>
      <c r="E460" s="1">
        <v>2340</v>
      </c>
      <c r="F460" s="1">
        <v>2340</v>
      </c>
      <c r="G460" s="1">
        <v>0</v>
      </c>
    </row>
    <row r="461" spans="1:7" hidden="1" x14ac:dyDescent="0.2">
      <c r="A461">
        <v>208881</v>
      </c>
      <c r="B461" t="s">
        <v>314</v>
      </c>
      <c r="C461">
        <v>4</v>
      </c>
      <c r="D461" s="1">
        <v>475.91</v>
      </c>
      <c r="E461" s="1">
        <v>475.91</v>
      </c>
      <c r="F461" s="1">
        <v>475.91</v>
      </c>
      <c r="G461" s="1">
        <v>475.91</v>
      </c>
    </row>
    <row r="462" spans="1:7" hidden="1" x14ac:dyDescent="0.2">
      <c r="A462">
        <v>208949</v>
      </c>
      <c r="B462" t="s">
        <v>315</v>
      </c>
      <c r="C462">
        <v>4</v>
      </c>
      <c r="D462" s="1">
        <v>82.21</v>
      </c>
      <c r="E462" s="1">
        <v>3213.46</v>
      </c>
      <c r="F462" s="1">
        <v>3213.46</v>
      </c>
      <c r="G462" s="1">
        <v>82.21</v>
      </c>
    </row>
    <row r="463" spans="1:7" hidden="1" x14ac:dyDescent="0.2">
      <c r="A463">
        <v>208951</v>
      </c>
      <c r="B463" t="s">
        <v>1130</v>
      </c>
      <c r="C463">
        <v>4</v>
      </c>
      <c r="D463" s="1">
        <v>1320</v>
      </c>
      <c r="E463" s="1">
        <v>1320</v>
      </c>
      <c r="F463" s="1">
        <v>0</v>
      </c>
      <c r="G463" s="1">
        <v>0</v>
      </c>
    </row>
    <row r="464" spans="1:7" hidden="1" x14ac:dyDescent="0.2">
      <c r="A464">
        <v>208968</v>
      </c>
      <c r="B464" t="s">
        <v>316</v>
      </c>
      <c r="C464">
        <v>4</v>
      </c>
      <c r="D464" s="1">
        <v>1530.05</v>
      </c>
      <c r="E464" s="1">
        <v>0</v>
      </c>
      <c r="F464" s="1">
        <v>0</v>
      </c>
      <c r="G464" s="1">
        <v>1530.05</v>
      </c>
    </row>
    <row r="465" spans="1:7" hidden="1" x14ac:dyDescent="0.2">
      <c r="A465">
        <v>208975</v>
      </c>
      <c r="B465" t="s">
        <v>1264</v>
      </c>
      <c r="C465">
        <v>4</v>
      </c>
      <c r="D465" s="1">
        <v>0</v>
      </c>
      <c r="E465" s="1">
        <v>0</v>
      </c>
      <c r="F465" s="1">
        <v>154.5</v>
      </c>
      <c r="G465" s="1">
        <v>154.5</v>
      </c>
    </row>
    <row r="466" spans="1:7" hidden="1" x14ac:dyDescent="0.2">
      <c r="A466">
        <v>209003</v>
      </c>
      <c r="B466" t="s">
        <v>1131</v>
      </c>
      <c r="C466">
        <v>4</v>
      </c>
      <c r="D466" s="1">
        <v>1794</v>
      </c>
      <c r="E466" s="1">
        <v>1794</v>
      </c>
      <c r="F466" s="1">
        <v>0</v>
      </c>
      <c r="G466" s="1">
        <v>0</v>
      </c>
    </row>
    <row r="467" spans="1:7" hidden="1" x14ac:dyDescent="0.2">
      <c r="A467">
        <v>209049</v>
      </c>
      <c r="B467" t="s">
        <v>1063</v>
      </c>
      <c r="C467">
        <v>4</v>
      </c>
      <c r="D467" s="1">
        <v>0</v>
      </c>
      <c r="E467" s="1">
        <v>507.4</v>
      </c>
      <c r="F467" s="1">
        <v>507.4</v>
      </c>
      <c r="G467" s="1">
        <v>0</v>
      </c>
    </row>
    <row r="468" spans="1:7" hidden="1" x14ac:dyDescent="0.2">
      <c r="A468">
        <v>209054</v>
      </c>
      <c r="B468" t="s">
        <v>1005</v>
      </c>
      <c r="C468">
        <v>4</v>
      </c>
      <c r="D468" s="1">
        <v>654.47</v>
      </c>
      <c r="E468" s="1">
        <v>968.37</v>
      </c>
      <c r="F468" s="1">
        <v>733.86</v>
      </c>
      <c r="G468" s="1">
        <v>419.96</v>
      </c>
    </row>
    <row r="469" spans="1:7" hidden="1" x14ac:dyDescent="0.2">
      <c r="A469">
        <v>209076</v>
      </c>
      <c r="B469" t="s">
        <v>810</v>
      </c>
      <c r="C469">
        <v>4</v>
      </c>
      <c r="D469" s="1">
        <v>1500</v>
      </c>
      <c r="E469" s="1">
        <v>0</v>
      </c>
      <c r="F469" s="1">
        <v>0</v>
      </c>
      <c r="G469" s="1">
        <v>1500</v>
      </c>
    </row>
    <row r="470" spans="1:7" hidden="1" x14ac:dyDescent="0.2">
      <c r="A470">
        <v>209102</v>
      </c>
      <c r="B470" t="s">
        <v>1006</v>
      </c>
      <c r="C470">
        <v>4</v>
      </c>
      <c r="D470" s="1">
        <v>10990.1</v>
      </c>
      <c r="E470" s="1">
        <v>12052.87</v>
      </c>
      <c r="F470" s="1">
        <v>3225.96</v>
      </c>
      <c r="G470" s="1">
        <v>2163.19</v>
      </c>
    </row>
    <row r="471" spans="1:7" hidden="1" x14ac:dyDescent="0.2">
      <c r="A471">
        <v>209107</v>
      </c>
      <c r="B471" t="s">
        <v>317</v>
      </c>
      <c r="C471">
        <v>4</v>
      </c>
      <c r="D471" s="1">
        <v>277.02</v>
      </c>
      <c r="E471" s="1">
        <v>0</v>
      </c>
      <c r="F471" s="1">
        <v>0</v>
      </c>
      <c r="G471" s="1">
        <v>277.02</v>
      </c>
    </row>
    <row r="472" spans="1:7" hidden="1" x14ac:dyDescent="0.2">
      <c r="A472">
        <v>209109</v>
      </c>
      <c r="B472" t="s">
        <v>1064</v>
      </c>
      <c r="C472">
        <v>4</v>
      </c>
      <c r="D472" s="1">
        <v>472.5</v>
      </c>
      <c r="E472" s="1">
        <v>472.5</v>
      </c>
      <c r="F472" s="1">
        <v>472.5</v>
      </c>
      <c r="G472" s="1">
        <v>472.5</v>
      </c>
    </row>
    <row r="473" spans="1:7" hidden="1" x14ac:dyDescent="0.2">
      <c r="A473">
        <v>209157</v>
      </c>
      <c r="B473" t="s">
        <v>682</v>
      </c>
      <c r="C473">
        <v>4</v>
      </c>
      <c r="D473" s="1">
        <v>0</v>
      </c>
      <c r="E473" s="1">
        <v>0</v>
      </c>
      <c r="F473" s="1">
        <v>1446.51</v>
      </c>
      <c r="G473" s="1">
        <v>1446.51</v>
      </c>
    </row>
    <row r="474" spans="1:7" hidden="1" x14ac:dyDescent="0.2">
      <c r="A474">
        <v>209190</v>
      </c>
      <c r="B474" t="s">
        <v>1007</v>
      </c>
      <c r="C474">
        <v>4</v>
      </c>
      <c r="D474" s="1">
        <v>14834.39</v>
      </c>
      <c r="E474" s="1">
        <v>0</v>
      </c>
      <c r="F474" s="1">
        <v>0</v>
      </c>
      <c r="G474" s="1">
        <v>14834.39</v>
      </c>
    </row>
    <row r="475" spans="1:7" hidden="1" x14ac:dyDescent="0.2">
      <c r="A475">
        <v>209208</v>
      </c>
      <c r="B475" t="s">
        <v>1008</v>
      </c>
      <c r="C475">
        <v>4</v>
      </c>
      <c r="D475" s="1">
        <v>828</v>
      </c>
      <c r="E475" s="1">
        <v>172</v>
      </c>
      <c r="F475" s="1">
        <v>172</v>
      </c>
      <c r="G475" s="1">
        <v>828</v>
      </c>
    </row>
    <row r="476" spans="1:7" hidden="1" x14ac:dyDescent="0.2">
      <c r="A476">
        <v>209233</v>
      </c>
      <c r="B476" t="s">
        <v>318</v>
      </c>
      <c r="C476">
        <v>4</v>
      </c>
      <c r="D476" s="1">
        <v>0</v>
      </c>
      <c r="E476" s="1">
        <v>215.31</v>
      </c>
      <c r="F476" s="1">
        <v>215.31</v>
      </c>
      <c r="G476" s="1">
        <v>0</v>
      </c>
    </row>
    <row r="477" spans="1:7" hidden="1" x14ac:dyDescent="0.2">
      <c r="A477">
        <v>209258</v>
      </c>
      <c r="B477" t="s">
        <v>886</v>
      </c>
      <c r="C477">
        <v>4</v>
      </c>
      <c r="D477" s="1">
        <v>0</v>
      </c>
      <c r="E477" s="1">
        <v>174</v>
      </c>
      <c r="F477" s="1">
        <v>174</v>
      </c>
      <c r="G477" s="1">
        <v>0</v>
      </c>
    </row>
    <row r="478" spans="1:7" hidden="1" x14ac:dyDescent="0.2">
      <c r="A478">
        <v>209296</v>
      </c>
      <c r="B478" t="s">
        <v>319</v>
      </c>
      <c r="C478">
        <v>4</v>
      </c>
      <c r="D478" s="1">
        <v>-21.87</v>
      </c>
      <c r="E478" s="1">
        <v>0</v>
      </c>
      <c r="F478" s="1">
        <v>0</v>
      </c>
      <c r="G478" s="1">
        <v>-21.87</v>
      </c>
    </row>
    <row r="479" spans="1:7" hidden="1" x14ac:dyDescent="0.2">
      <c r="A479">
        <v>209300</v>
      </c>
      <c r="B479" t="s">
        <v>1065</v>
      </c>
      <c r="C479">
        <v>4</v>
      </c>
      <c r="D479" s="1">
        <v>239.9</v>
      </c>
      <c r="E479" s="1">
        <v>239.9</v>
      </c>
      <c r="F479" s="1">
        <v>143</v>
      </c>
      <c r="G479" s="1">
        <v>143</v>
      </c>
    </row>
    <row r="480" spans="1:7" hidden="1" x14ac:dyDescent="0.2">
      <c r="A480">
        <v>209352</v>
      </c>
      <c r="B480" t="s">
        <v>1132</v>
      </c>
      <c r="C480">
        <v>4</v>
      </c>
      <c r="D480" s="1">
        <v>342.95</v>
      </c>
      <c r="E480" s="1">
        <v>342.95</v>
      </c>
      <c r="F480" s="1">
        <v>0</v>
      </c>
      <c r="G480" s="1">
        <v>0</v>
      </c>
    </row>
    <row r="481" spans="1:7" hidden="1" x14ac:dyDescent="0.2">
      <c r="A481">
        <v>209358</v>
      </c>
      <c r="B481" t="s">
        <v>320</v>
      </c>
      <c r="C481">
        <v>4</v>
      </c>
      <c r="D481" s="1">
        <v>230</v>
      </c>
      <c r="E481" s="1">
        <v>0</v>
      </c>
      <c r="F481" s="1">
        <v>0</v>
      </c>
      <c r="G481" s="1">
        <v>230</v>
      </c>
    </row>
    <row r="482" spans="1:7" hidden="1" x14ac:dyDescent="0.2">
      <c r="A482">
        <v>209360</v>
      </c>
      <c r="B482" t="s">
        <v>321</v>
      </c>
      <c r="C482">
        <v>4</v>
      </c>
      <c r="D482" s="1">
        <v>3250</v>
      </c>
      <c r="E482" s="1">
        <v>0</v>
      </c>
      <c r="F482" s="1">
        <v>0</v>
      </c>
      <c r="G482" s="1">
        <v>3250</v>
      </c>
    </row>
    <row r="483" spans="1:7" hidden="1" x14ac:dyDescent="0.2">
      <c r="A483">
        <v>209362</v>
      </c>
      <c r="B483" t="s">
        <v>322</v>
      </c>
      <c r="C483">
        <v>4</v>
      </c>
      <c r="D483" s="1">
        <v>2436</v>
      </c>
      <c r="E483" s="1">
        <v>2675.7</v>
      </c>
      <c r="F483" s="1">
        <v>746.6</v>
      </c>
      <c r="G483" s="1">
        <v>506.9</v>
      </c>
    </row>
    <row r="484" spans="1:7" hidden="1" x14ac:dyDescent="0.2">
      <c r="A484">
        <v>209371</v>
      </c>
      <c r="B484" t="s">
        <v>938</v>
      </c>
      <c r="C484">
        <v>4</v>
      </c>
      <c r="D484" s="1">
        <v>0</v>
      </c>
      <c r="E484" s="1">
        <v>0</v>
      </c>
      <c r="F484" s="1">
        <v>8142</v>
      </c>
      <c r="G484" s="1">
        <v>8142</v>
      </c>
    </row>
    <row r="485" spans="1:7" hidden="1" x14ac:dyDescent="0.2">
      <c r="A485">
        <v>209373</v>
      </c>
      <c r="B485" t="s">
        <v>1066</v>
      </c>
      <c r="C485">
        <v>4</v>
      </c>
      <c r="D485" s="1">
        <v>0</v>
      </c>
      <c r="E485" s="1">
        <v>0</v>
      </c>
      <c r="F485" s="1">
        <v>894</v>
      </c>
      <c r="G485" s="1">
        <v>894</v>
      </c>
    </row>
    <row r="486" spans="1:7" hidden="1" x14ac:dyDescent="0.2">
      <c r="A486">
        <v>209383</v>
      </c>
      <c r="B486" t="s">
        <v>1009</v>
      </c>
      <c r="C486">
        <v>4</v>
      </c>
      <c r="D486" s="1">
        <v>4230</v>
      </c>
      <c r="E486" s="1">
        <v>4230</v>
      </c>
      <c r="F486" s="1">
        <v>4230</v>
      </c>
      <c r="G486" s="1">
        <v>4230</v>
      </c>
    </row>
    <row r="487" spans="1:7" hidden="1" x14ac:dyDescent="0.2">
      <c r="A487">
        <v>209395</v>
      </c>
      <c r="B487" t="s">
        <v>1265</v>
      </c>
      <c r="C487">
        <v>4</v>
      </c>
      <c r="D487" s="1">
        <v>0</v>
      </c>
      <c r="E487" s="1">
        <v>2250</v>
      </c>
      <c r="F487" s="1">
        <v>15435</v>
      </c>
      <c r="G487" s="1">
        <v>13185</v>
      </c>
    </row>
    <row r="488" spans="1:7" hidden="1" x14ac:dyDescent="0.2">
      <c r="A488">
        <v>209408</v>
      </c>
      <c r="B488" t="s">
        <v>323</v>
      </c>
      <c r="C488">
        <v>4</v>
      </c>
      <c r="D488" s="1">
        <v>6885.47</v>
      </c>
      <c r="E488" s="1">
        <v>2329.39</v>
      </c>
      <c r="F488" s="1">
        <v>5295.48</v>
      </c>
      <c r="G488" s="1">
        <v>9851.56</v>
      </c>
    </row>
    <row r="489" spans="1:7" hidden="1" x14ac:dyDescent="0.2">
      <c r="A489">
        <v>209416</v>
      </c>
      <c r="B489" t="s">
        <v>1067</v>
      </c>
      <c r="C489">
        <v>4</v>
      </c>
      <c r="D489" s="1">
        <v>305</v>
      </c>
      <c r="E489" s="1">
        <v>800</v>
      </c>
      <c r="F489" s="1">
        <v>660</v>
      </c>
      <c r="G489" s="1">
        <v>165</v>
      </c>
    </row>
    <row r="490" spans="1:7" hidden="1" x14ac:dyDescent="0.2">
      <c r="A490">
        <v>209440</v>
      </c>
      <c r="B490" t="s">
        <v>324</v>
      </c>
      <c r="C490">
        <v>4</v>
      </c>
      <c r="D490" s="1">
        <v>39608.42</v>
      </c>
      <c r="E490" s="1">
        <v>0</v>
      </c>
      <c r="F490" s="1">
        <v>0</v>
      </c>
      <c r="G490" s="1">
        <v>39608.42</v>
      </c>
    </row>
    <row r="491" spans="1:7" hidden="1" x14ac:dyDescent="0.2">
      <c r="A491">
        <v>209446</v>
      </c>
      <c r="B491" t="s">
        <v>1068</v>
      </c>
      <c r="C491">
        <v>4</v>
      </c>
      <c r="D491" s="1">
        <v>0</v>
      </c>
      <c r="E491" s="1">
        <v>0</v>
      </c>
      <c r="F491" s="1">
        <v>255</v>
      </c>
      <c r="G491" s="1">
        <v>255</v>
      </c>
    </row>
    <row r="492" spans="1:7" hidden="1" x14ac:dyDescent="0.2">
      <c r="A492">
        <v>209463</v>
      </c>
      <c r="B492" t="s">
        <v>1010</v>
      </c>
      <c r="C492">
        <v>4</v>
      </c>
      <c r="D492" s="1">
        <v>-10.85</v>
      </c>
      <c r="E492" s="1">
        <v>273.39999999999998</v>
      </c>
      <c r="F492" s="1">
        <v>273.39999999999998</v>
      </c>
      <c r="G492" s="1">
        <v>-10.85</v>
      </c>
    </row>
    <row r="493" spans="1:7" hidden="1" x14ac:dyDescent="0.2">
      <c r="A493">
        <v>209482</v>
      </c>
      <c r="B493" t="s">
        <v>1266</v>
      </c>
      <c r="C493">
        <v>4</v>
      </c>
      <c r="D493" s="1">
        <v>0</v>
      </c>
      <c r="E493" s="1">
        <v>0</v>
      </c>
      <c r="F493" s="1">
        <v>6200</v>
      </c>
      <c r="G493" s="1">
        <v>6200</v>
      </c>
    </row>
    <row r="494" spans="1:7" hidden="1" x14ac:dyDescent="0.2">
      <c r="A494">
        <v>209486</v>
      </c>
      <c r="B494" t="s">
        <v>811</v>
      </c>
      <c r="C494">
        <v>4</v>
      </c>
      <c r="D494" s="1">
        <v>4.87</v>
      </c>
      <c r="E494" s="1">
        <v>0</v>
      </c>
      <c r="F494" s="1">
        <v>0</v>
      </c>
      <c r="G494" s="1">
        <v>4.87</v>
      </c>
    </row>
    <row r="495" spans="1:7" hidden="1" x14ac:dyDescent="0.2">
      <c r="A495">
        <v>209489</v>
      </c>
      <c r="B495" t="s">
        <v>1069</v>
      </c>
      <c r="C495">
        <v>4</v>
      </c>
      <c r="D495" s="1">
        <v>1476</v>
      </c>
      <c r="E495" s="1">
        <v>1766</v>
      </c>
      <c r="F495" s="1">
        <v>1028</v>
      </c>
      <c r="G495" s="1">
        <v>738</v>
      </c>
    </row>
    <row r="496" spans="1:7" hidden="1" x14ac:dyDescent="0.2">
      <c r="A496">
        <v>209508</v>
      </c>
      <c r="B496" t="s">
        <v>325</v>
      </c>
      <c r="C496">
        <v>4</v>
      </c>
      <c r="D496" s="1">
        <v>3468.6</v>
      </c>
      <c r="E496" s="1">
        <v>0</v>
      </c>
      <c r="F496" s="1">
        <v>0</v>
      </c>
      <c r="G496" s="1">
        <v>3468.6</v>
      </c>
    </row>
    <row r="497" spans="1:7" hidden="1" x14ac:dyDescent="0.2">
      <c r="A497">
        <v>209531</v>
      </c>
      <c r="B497" t="s">
        <v>1267</v>
      </c>
      <c r="C497">
        <v>4</v>
      </c>
      <c r="D497" s="1">
        <v>0</v>
      </c>
      <c r="E497" s="1">
        <v>0</v>
      </c>
      <c r="F497" s="1">
        <v>8781.5</v>
      </c>
      <c r="G497" s="1">
        <v>8781.5</v>
      </c>
    </row>
    <row r="498" spans="1:7" hidden="1" x14ac:dyDescent="0.2">
      <c r="A498">
        <v>209537</v>
      </c>
      <c r="B498" t="s">
        <v>1133</v>
      </c>
      <c r="C498">
        <v>4</v>
      </c>
      <c r="D498" s="1">
        <v>459</v>
      </c>
      <c r="E498" s="1">
        <v>459</v>
      </c>
      <c r="F498" s="1">
        <v>0</v>
      </c>
      <c r="G498" s="1">
        <v>0</v>
      </c>
    </row>
    <row r="499" spans="1:7" hidden="1" x14ac:dyDescent="0.2">
      <c r="A499">
        <v>209564</v>
      </c>
      <c r="B499" t="s">
        <v>1070</v>
      </c>
      <c r="C499">
        <v>4</v>
      </c>
      <c r="D499" s="1">
        <v>406.42</v>
      </c>
      <c r="E499" s="1">
        <v>406.42</v>
      </c>
      <c r="F499" s="1">
        <v>634.41999999999996</v>
      </c>
      <c r="G499" s="1">
        <v>634.41999999999996</v>
      </c>
    </row>
    <row r="500" spans="1:7" hidden="1" x14ac:dyDescent="0.2">
      <c r="A500">
        <v>209575</v>
      </c>
      <c r="B500" t="s">
        <v>1134</v>
      </c>
      <c r="C500">
        <v>4</v>
      </c>
      <c r="D500" s="1">
        <v>5368</v>
      </c>
      <c r="E500" s="1">
        <v>5368</v>
      </c>
      <c r="F500" s="1">
        <v>0</v>
      </c>
      <c r="G500" s="1">
        <v>0</v>
      </c>
    </row>
    <row r="501" spans="1:7" hidden="1" x14ac:dyDescent="0.2">
      <c r="A501">
        <v>209581</v>
      </c>
      <c r="B501" t="s">
        <v>326</v>
      </c>
      <c r="C501">
        <v>4</v>
      </c>
      <c r="D501" s="1">
        <v>18101.43</v>
      </c>
      <c r="E501" s="1">
        <v>15540.92</v>
      </c>
      <c r="F501" s="1">
        <v>6439.12</v>
      </c>
      <c r="G501" s="1">
        <v>8999.6299999999992</v>
      </c>
    </row>
    <row r="502" spans="1:7" hidden="1" x14ac:dyDescent="0.2">
      <c r="A502">
        <v>209583</v>
      </c>
      <c r="B502" t="s">
        <v>978</v>
      </c>
      <c r="C502">
        <v>4</v>
      </c>
      <c r="D502" s="1">
        <v>0</v>
      </c>
      <c r="E502" s="1">
        <v>4800</v>
      </c>
      <c r="F502" s="1">
        <v>5485</v>
      </c>
      <c r="G502" s="1">
        <v>685</v>
      </c>
    </row>
    <row r="503" spans="1:7" hidden="1" x14ac:dyDescent="0.2">
      <c r="A503">
        <v>209587</v>
      </c>
      <c r="B503" t="s">
        <v>1071</v>
      </c>
      <c r="C503">
        <v>4</v>
      </c>
      <c r="D503" s="1">
        <v>534</v>
      </c>
      <c r="E503" s="1">
        <v>1335</v>
      </c>
      <c r="F503" s="1">
        <v>1335</v>
      </c>
      <c r="G503" s="1">
        <v>534</v>
      </c>
    </row>
    <row r="504" spans="1:7" hidden="1" x14ac:dyDescent="0.2">
      <c r="A504">
        <v>209604</v>
      </c>
      <c r="B504" t="s">
        <v>327</v>
      </c>
      <c r="C504">
        <v>4</v>
      </c>
      <c r="D504" s="1">
        <v>128.59</v>
      </c>
      <c r="E504" s="1">
        <v>498.66</v>
      </c>
      <c r="F504" s="1">
        <v>234.81</v>
      </c>
      <c r="G504" s="1">
        <v>-135.26</v>
      </c>
    </row>
    <row r="505" spans="1:7" hidden="1" x14ac:dyDescent="0.2">
      <c r="A505">
        <v>209622</v>
      </c>
      <c r="B505" t="s">
        <v>1268</v>
      </c>
      <c r="C505">
        <v>4</v>
      </c>
      <c r="D505" s="1">
        <v>0</v>
      </c>
      <c r="E505" s="1">
        <v>0</v>
      </c>
      <c r="F505" s="1">
        <v>848</v>
      </c>
      <c r="G505" s="1">
        <v>848</v>
      </c>
    </row>
    <row r="506" spans="1:7" hidden="1" x14ac:dyDescent="0.2">
      <c r="A506">
        <v>209650</v>
      </c>
      <c r="B506" t="s">
        <v>887</v>
      </c>
      <c r="C506">
        <v>4</v>
      </c>
      <c r="D506" s="1">
        <v>7083.75</v>
      </c>
      <c r="E506" s="1">
        <v>7083.75</v>
      </c>
      <c r="F506" s="1">
        <v>4826.88</v>
      </c>
      <c r="G506" s="1">
        <v>4826.88</v>
      </c>
    </row>
    <row r="507" spans="1:7" hidden="1" x14ac:dyDescent="0.2">
      <c r="A507">
        <v>209663</v>
      </c>
      <c r="B507" t="s">
        <v>848</v>
      </c>
      <c r="C507">
        <v>4</v>
      </c>
      <c r="D507" s="1">
        <v>52.59</v>
      </c>
      <c r="E507" s="1">
        <v>0</v>
      </c>
      <c r="F507" s="1">
        <v>0</v>
      </c>
      <c r="G507" s="1">
        <v>52.59</v>
      </c>
    </row>
    <row r="508" spans="1:7" hidden="1" x14ac:dyDescent="0.2">
      <c r="A508">
        <v>209669</v>
      </c>
      <c r="B508" t="s">
        <v>1269</v>
      </c>
      <c r="C508">
        <v>4</v>
      </c>
      <c r="D508" s="1">
        <v>0</v>
      </c>
      <c r="E508" s="1">
        <v>0</v>
      </c>
      <c r="F508" s="1">
        <v>387</v>
      </c>
      <c r="G508" s="1">
        <v>387</v>
      </c>
    </row>
    <row r="509" spans="1:7" hidden="1" x14ac:dyDescent="0.2">
      <c r="A509">
        <v>209686</v>
      </c>
      <c r="B509" t="s">
        <v>328</v>
      </c>
      <c r="C509">
        <v>4</v>
      </c>
      <c r="D509" s="1">
        <v>0.01</v>
      </c>
      <c r="E509" s="1">
        <v>0</v>
      </c>
      <c r="F509" s="1">
        <v>0</v>
      </c>
      <c r="G509" s="1">
        <v>0.01</v>
      </c>
    </row>
    <row r="510" spans="1:7" hidden="1" x14ac:dyDescent="0.2">
      <c r="A510">
        <v>209745</v>
      </c>
      <c r="B510" t="s">
        <v>1135</v>
      </c>
      <c r="C510">
        <v>4</v>
      </c>
      <c r="D510" s="1">
        <v>279.60000000000002</v>
      </c>
      <c r="E510" s="1">
        <v>279.60000000000002</v>
      </c>
      <c r="F510" s="1">
        <v>0</v>
      </c>
      <c r="G510" s="1">
        <v>0</v>
      </c>
    </row>
    <row r="511" spans="1:7" hidden="1" x14ac:dyDescent="0.2">
      <c r="A511">
        <v>209771</v>
      </c>
      <c r="B511" t="s">
        <v>1011</v>
      </c>
      <c r="C511">
        <v>4</v>
      </c>
      <c r="D511" s="1">
        <v>1505.6</v>
      </c>
      <c r="E511" s="1">
        <v>1505.6</v>
      </c>
      <c r="F511" s="1">
        <v>10403.200000000001</v>
      </c>
      <c r="G511" s="1">
        <v>10403.200000000001</v>
      </c>
    </row>
    <row r="512" spans="1:7" hidden="1" x14ac:dyDescent="0.2">
      <c r="A512">
        <v>209773</v>
      </c>
      <c r="B512" t="s">
        <v>1072</v>
      </c>
      <c r="C512">
        <v>4</v>
      </c>
      <c r="D512" s="1">
        <v>0</v>
      </c>
      <c r="E512" s="1">
        <v>76.3</v>
      </c>
      <c r="F512" s="1">
        <v>76.3</v>
      </c>
      <c r="G512" s="1">
        <v>0</v>
      </c>
    </row>
    <row r="513" spans="1:7" hidden="1" x14ac:dyDescent="0.2">
      <c r="A513">
        <v>209779</v>
      </c>
      <c r="B513" t="s">
        <v>1270</v>
      </c>
      <c r="C513">
        <v>4</v>
      </c>
      <c r="D513" s="1">
        <v>0</v>
      </c>
      <c r="E513" s="1">
        <v>170.85</v>
      </c>
      <c r="F513" s="1">
        <v>170.85</v>
      </c>
      <c r="G513" s="1">
        <v>0</v>
      </c>
    </row>
    <row r="514" spans="1:7" hidden="1" x14ac:dyDescent="0.2">
      <c r="A514">
        <v>209801</v>
      </c>
      <c r="B514" t="s">
        <v>1012</v>
      </c>
      <c r="C514">
        <v>4</v>
      </c>
      <c r="D514" s="1">
        <v>19.47</v>
      </c>
      <c r="E514" s="1">
        <v>1003.33</v>
      </c>
      <c r="F514" s="1">
        <v>983.86</v>
      </c>
      <c r="G514" s="1">
        <v>0</v>
      </c>
    </row>
    <row r="515" spans="1:7" hidden="1" x14ac:dyDescent="0.2">
      <c r="A515">
        <v>209802</v>
      </c>
      <c r="B515" t="s">
        <v>329</v>
      </c>
      <c r="C515">
        <v>4</v>
      </c>
      <c r="D515" s="1">
        <v>2950</v>
      </c>
      <c r="E515" s="1">
        <v>1475</v>
      </c>
      <c r="F515" s="1">
        <v>1475</v>
      </c>
      <c r="G515" s="1">
        <v>2950</v>
      </c>
    </row>
    <row r="516" spans="1:7" hidden="1" x14ac:dyDescent="0.2">
      <c r="A516">
        <v>209813</v>
      </c>
      <c r="B516" t="s">
        <v>1136</v>
      </c>
      <c r="C516">
        <v>4</v>
      </c>
      <c r="D516" s="1">
        <v>5665.38</v>
      </c>
      <c r="E516" s="1">
        <v>13771.4</v>
      </c>
      <c r="F516" s="1">
        <v>8106.02</v>
      </c>
      <c r="G516" s="1">
        <v>0</v>
      </c>
    </row>
    <row r="517" spans="1:7" hidden="1" x14ac:dyDescent="0.2">
      <c r="A517">
        <v>209814</v>
      </c>
      <c r="B517" t="s">
        <v>330</v>
      </c>
      <c r="C517">
        <v>4</v>
      </c>
      <c r="D517" s="1">
        <v>49295.87</v>
      </c>
      <c r="E517" s="1">
        <v>23940.58</v>
      </c>
      <c r="F517" s="1">
        <v>58171.9</v>
      </c>
      <c r="G517" s="1">
        <v>83527.19</v>
      </c>
    </row>
    <row r="518" spans="1:7" hidden="1" x14ac:dyDescent="0.2">
      <c r="A518">
        <v>209825</v>
      </c>
      <c r="B518" t="s">
        <v>1137</v>
      </c>
      <c r="C518">
        <v>4</v>
      </c>
      <c r="D518" s="1">
        <v>2364</v>
      </c>
      <c r="E518" s="1">
        <v>2364</v>
      </c>
      <c r="F518" s="1">
        <v>0</v>
      </c>
      <c r="G518" s="1">
        <v>0</v>
      </c>
    </row>
    <row r="519" spans="1:7" hidden="1" x14ac:dyDescent="0.2">
      <c r="A519">
        <v>209871</v>
      </c>
      <c r="B519" t="s">
        <v>1271</v>
      </c>
      <c r="C519">
        <v>4</v>
      </c>
      <c r="D519" s="1">
        <v>0</v>
      </c>
      <c r="E519" s="1">
        <v>151.38</v>
      </c>
      <c r="F519" s="1">
        <v>151.38</v>
      </c>
      <c r="G519" s="1">
        <v>0</v>
      </c>
    </row>
    <row r="520" spans="1:7" hidden="1" x14ac:dyDescent="0.2">
      <c r="A520">
        <v>209889</v>
      </c>
      <c r="B520" t="s">
        <v>332</v>
      </c>
      <c r="C520">
        <v>4</v>
      </c>
      <c r="D520" s="1">
        <v>4286.01</v>
      </c>
      <c r="E520" s="1">
        <v>4286.01</v>
      </c>
      <c r="F520" s="1">
        <v>3790.92</v>
      </c>
      <c r="G520" s="1">
        <v>3790.92</v>
      </c>
    </row>
    <row r="521" spans="1:7" hidden="1" x14ac:dyDescent="0.2">
      <c r="A521">
        <v>209903</v>
      </c>
      <c r="B521" t="s">
        <v>1138</v>
      </c>
      <c r="C521">
        <v>4</v>
      </c>
      <c r="D521" s="1">
        <v>506.84</v>
      </c>
      <c r="E521" s="1">
        <v>551.72</v>
      </c>
      <c r="F521" s="1">
        <v>316.27</v>
      </c>
      <c r="G521" s="1">
        <v>271.39</v>
      </c>
    </row>
    <row r="522" spans="1:7" hidden="1" x14ac:dyDescent="0.2">
      <c r="A522">
        <v>209914</v>
      </c>
      <c r="B522" t="s">
        <v>1013</v>
      </c>
      <c r="C522">
        <v>4</v>
      </c>
      <c r="D522" s="1">
        <v>0</v>
      </c>
      <c r="E522" s="1">
        <v>150</v>
      </c>
      <c r="F522" s="1">
        <v>150</v>
      </c>
      <c r="G522" s="1">
        <v>0</v>
      </c>
    </row>
    <row r="523" spans="1:7" hidden="1" x14ac:dyDescent="0.2">
      <c r="A523">
        <v>209919</v>
      </c>
      <c r="B523" t="s">
        <v>1073</v>
      </c>
      <c r="C523">
        <v>4</v>
      </c>
      <c r="D523" s="1">
        <v>397.6</v>
      </c>
      <c r="E523" s="1">
        <v>585.6</v>
      </c>
      <c r="F523" s="1">
        <v>2158.1999999999998</v>
      </c>
      <c r="G523" s="1">
        <v>1970.2</v>
      </c>
    </row>
    <row r="524" spans="1:7" hidden="1" x14ac:dyDescent="0.2">
      <c r="A524">
        <v>209920</v>
      </c>
      <c r="B524" t="s">
        <v>333</v>
      </c>
      <c r="C524">
        <v>4</v>
      </c>
      <c r="D524" s="1">
        <v>2810</v>
      </c>
      <c r="E524" s="1">
        <v>2810</v>
      </c>
      <c r="F524" s="1">
        <v>2810</v>
      </c>
      <c r="G524" s="1">
        <v>2810</v>
      </c>
    </row>
    <row r="525" spans="1:7" hidden="1" x14ac:dyDescent="0.2">
      <c r="A525">
        <v>209923</v>
      </c>
      <c r="B525" t="s">
        <v>1272</v>
      </c>
      <c r="C525">
        <v>4</v>
      </c>
      <c r="D525" s="1">
        <v>0</v>
      </c>
      <c r="E525" s="1">
        <v>0</v>
      </c>
      <c r="F525" s="1">
        <v>310</v>
      </c>
      <c r="G525" s="1">
        <v>310</v>
      </c>
    </row>
    <row r="526" spans="1:7" hidden="1" x14ac:dyDescent="0.2">
      <c r="A526">
        <v>209929</v>
      </c>
      <c r="B526" t="s">
        <v>1139</v>
      </c>
      <c r="C526">
        <v>4</v>
      </c>
      <c r="D526" s="1">
        <v>147</v>
      </c>
      <c r="E526" s="1">
        <v>147</v>
      </c>
      <c r="F526" s="1">
        <v>0</v>
      </c>
      <c r="G526" s="1">
        <v>0</v>
      </c>
    </row>
    <row r="527" spans="1:7" hidden="1" x14ac:dyDescent="0.2">
      <c r="A527">
        <v>209930</v>
      </c>
      <c r="B527" t="s">
        <v>334</v>
      </c>
      <c r="C527">
        <v>4</v>
      </c>
      <c r="D527" s="1">
        <v>-712</v>
      </c>
      <c r="E527" s="1">
        <v>0</v>
      </c>
      <c r="F527" s="1">
        <v>0</v>
      </c>
      <c r="G527" s="1">
        <v>-712</v>
      </c>
    </row>
    <row r="528" spans="1:7" hidden="1" x14ac:dyDescent="0.2">
      <c r="A528">
        <v>209937</v>
      </c>
      <c r="B528" t="s">
        <v>1074</v>
      </c>
      <c r="C528">
        <v>4</v>
      </c>
      <c r="D528" s="1">
        <v>510</v>
      </c>
      <c r="E528" s="1">
        <v>991.55</v>
      </c>
      <c r="F528" s="1">
        <v>481.55</v>
      </c>
      <c r="G528" s="1">
        <v>0</v>
      </c>
    </row>
    <row r="529" spans="1:7" hidden="1" x14ac:dyDescent="0.2">
      <c r="A529">
        <v>209986</v>
      </c>
      <c r="B529" t="s">
        <v>335</v>
      </c>
      <c r="C529">
        <v>4</v>
      </c>
      <c r="D529" s="1">
        <v>10529.53</v>
      </c>
      <c r="E529" s="1">
        <v>20062.43</v>
      </c>
      <c r="F529" s="1">
        <v>9532.9</v>
      </c>
      <c r="G529" s="1">
        <v>0</v>
      </c>
    </row>
    <row r="530" spans="1:7" hidden="1" x14ac:dyDescent="0.2">
      <c r="A530">
        <v>210022</v>
      </c>
      <c r="B530" t="s">
        <v>336</v>
      </c>
      <c r="C530">
        <v>4</v>
      </c>
      <c r="D530" s="1">
        <v>990.9</v>
      </c>
      <c r="E530" s="1">
        <v>23906.22</v>
      </c>
      <c r="F530" s="1">
        <v>72022.789999999994</v>
      </c>
      <c r="G530" s="1">
        <v>49107.47</v>
      </c>
    </row>
    <row r="531" spans="1:7" hidden="1" x14ac:dyDescent="0.2">
      <c r="A531">
        <v>210030</v>
      </c>
      <c r="B531" t="s">
        <v>1140</v>
      </c>
      <c r="C531">
        <v>4</v>
      </c>
      <c r="D531" s="1">
        <v>0</v>
      </c>
      <c r="E531" s="1">
        <v>280</v>
      </c>
      <c r="F531" s="1">
        <v>280</v>
      </c>
      <c r="G531" s="1">
        <v>0</v>
      </c>
    </row>
    <row r="532" spans="1:7" hidden="1" x14ac:dyDescent="0.2">
      <c r="A532">
        <v>210051</v>
      </c>
      <c r="B532" t="s">
        <v>1273</v>
      </c>
      <c r="C532">
        <v>4</v>
      </c>
      <c r="D532" s="1">
        <v>0</v>
      </c>
      <c r="E532" s="1">
        <v>1005.05</v>
      </c>
      <c r="F532" s="1">
        <v>1005.05</v>
      </c>
      <c r="G532" s="1">
        <v>0</v>
      </c>
    </row>
    <row r="533" spans="1:7" hidden="1" x14ac:dyDescent="0.2">
      <c r="A533">
        <v>210052</v>
      </c>
      <c r="B533" t="s">
        <v>849</v>
      </c>
      <c r="C533">
        <v>4</v>
      </c>
      <c r="D533" s="1">
        <v>442.63</v>
      </c>
      <c r="E533" s="1">
        <v>0</v>
      </c>
      <c r="F533" s="1">
        <v>0</v>
      </c>
      <c r="G533" s="1">
        <v>442.63</v>
      </c>
    </row>
    <row r="534" spans="1:7" hidden="1" x14ac:dyDescent="0.2">
      <c r="A534">
        <v>210056</v>
      </c>
      <c r="B534" t="s">
        <v>729</v>
      </c>
      <c r="C534">
        <v>4</v>
      </c>
      <c r="D534" s="1">
        <v>1216.3</v>
      </c>
      <c r="E534" s="1">
        <v>2792.38</v>
      </c>
      <c r="F534" s="1">
        <v>1531.98</v>
      </c>
      <c r="G534" s="1">
        <v>-44.1</v>
      </c>
    </row>
    <row r="535" spans="1:7" hidden="1" x14ac:dyDescent="0.2">
      <c r="A535">
        <v>210084</v>
      </c>
      <c r="B535" t="s">
        <v>337</v>
      </c>
      <c r="C535">
        <v>4</v>
      </c>
      <c r="D535" s="1">
        <v>12957</v>
      </c>
      <c r="E535" s="1">
        <v>0</v>
      </c>
      <c r="F535" s="1">
        <v>0</v>
      </c>
      <c r="G535" s="1">
        <v>12957</v>
      </c>
    </row>
    <row r="536" spans="1:7" hidden="1" x14ac:dyDescent="0.2">
      <c r="A536">
        <v>210094</v>
      </c>
      <c r="B536" t="s">
        <v>1141</v>
      </c>
      <c r="C536">
        <v>4</v>
      </c>
      <c r="D536" s="1">
        <v>0</v>
      </c>
      <c r="E536" s="1">
        <v>75</v>
      </c>
      <c r="F536" s="1">
        <v>75</v>
      </c>
      <c r="G536" s="1">
        <v>0</v>
      </c>
    </row>
    <row r="537" spans="1:7" hidden="1" x14ac:dyDescent="0.2">
      <c r="A537">
        <v>210098</v>
      </c>
      <c r="B537" t="s">
        <v>1274</v>
      </c>
      <c r="C537">
        <v>4</v>
      </c>
      <c r="D537" s="1">
        <v>0</v>
      </c>
      <c r="E537" s="1">
        <v>0</v>
      </c>
      <c r="F537" s="1">
        <v>1520</v>
      </c>
      <c r="G537" s="1">
        <v>1520</v>
      </c>
    </row>
    <row r="538" spans="1:7" hidden="1" x14ac:dyDescent="0.2">
      <c r="A538">
        <v>210111</v>
      </c>
      <c r="B538" t="s">
        <v>1142</v>
      </c>
      <c r="C538">
        <v>4</v>
      </c>
      <c r="D538" s="1">
        <v>25526</v>
      </c>
      <c r="E538" s="1">
        <v>0</v>
      </c>
      <c r="F538" s="1">
        <v>0</v>
      </c>
      <c r="G538" s="1">
        <v>25526</v>
      </c>
    </row>
    <row r="539" spans="1:7" hidden="1" x14ac:dyDescent="0.2">
      <c r="A539">
        <v>210140</v>
      </c>
      <c r="B539" t="s">
        <v>1014</v>
      </c>
      <c r="C539">
        <v>4</v>
      </c>
      <c r="D539" s="1">
        <v>2079.2800000000002</v>
      </c>
      <c r="E539" s="1">
        <v>2079.2800000000002</v>
      </c>
      <c r="F539" s="1">
        <v>417.89</v>
      </c>
      <c r="G539" s="1">
        <v>417.89</v>
      </c>
    </row>
    <row r="540" spans="1:7" hidden="1" x14ac:dyDescent="0.2">
      <c r="A540">
        <v>210157</v>
      </c>
      <c r="B540" t="s">
        <v>1275</v>
      </c>
      <c r="C540">
        <v>4</v>
      </c>
      <c r="D540" s="1">
        <v>0</v>
      </c>
      <c r="E540" s="1">
        <v>0</v>
      </c>
      <c r="F540" s="1">
        <v>188</v>
      </c>
      <c r="G540" s="1">
        <v>188</v>
      </c>
    </row>
    <row r="541" spans="1:7" hidden="1" x14ac:dyDescent="0.2">
      <c r="A541">
        <v>210170</v>
      </c>
      <c r="B541" t="s">
        <v>730</v>
      </c>
      <c r="C541">
        <v>4</v>
      </c>
      <c r="D541" s="1">
        <v>3219.93</v>
      </c>
      <c r="E541" s="1">
        <v>3219.93</v>
      </c>
      <c r="F541" s="1">
        <v>4543.87</v>
      </c>
      <c r="G541" s="1">
        <v>4543.87</v>
      </c>
    </row>
    <row r="542" spans="1:7" hidden="1" x14ac:dyDescent="0.2">
      <c r="A542">
        <v>210174</v>
      </c>
      <c r="B542" t="s">
        <v>871</v>
      </c>
      <c r="C542">
        <v>4</v>
      </c>
      <c r="D542" s="1">
        <v>850</v>
      </c>
      <c r="E542" s="1">
        <v>850</v>
      </c>
      <c r="F542" s="1">
        <v>850</v>
      </c>
      <c r="G542" s="1">
        <v>850</v>
      </c>
    </row>
    <row r="543" spans="1:7" hidden="1" x14ac:dyDescent="0.2">
      <c r="A543">
        <v>210185</v>
      </c>
      <c r="B543" t="s">
        <v>1075</v>
      </c>
      <c r="C543">
        <v>4</v>
      </c>
      <c r="D543" s="1">
        <v>0</v>
      </c>
      <c r="E543" s="1">
        <v>403.26</v>
      </c>
      <c r="F543" s="1">
        <v>403.26</v>
      </c>
      <c r="G543" s="1">
        <v>0</v>
      </c>
    </row>
    <row r="544" spans="1:7" hidden="1" x14ac:dyDescent="0.2">
      <c r="A544">
        <v>210196</v>
      </c>
      <c r="B544" t="s">
        <v>1143</v>
      </c>
      <c r="C544">
        <v>4</v>
      </c>
      <c r="D544" s="1">
        <v>478.8</v>
      </c>
      <c r="E544" s="1">
        <v>478.8</v>
      </c>
      <c r="F544" s="1">
        <v>0</v>
      </c>
      <c r="G544" s="1">
        <v>0</v>
      </c>
    </row>
    <row r="545" spans="1:7" hidden="1" x14ac:dyDescent="0.2">
      <c r="A545">
        <v>210199</v>
      </c>
      <c r="B545" t="s">
        <v>1015</v>
      </c>
      <c r="C545">
        <v>4</v>
      </c>
      <c r="D545" s="1">
        <v>806.4</v>
      </c>
      <c r="E545" s="1">
        <v>1066.4000000000001</v>
      </c>
      <c r="F545" s="1">
        <v>1040</v>
      </c>
      <c r="G545" s="1">
        <v>780</v>
      </c>
    </row>
    <row r="546" spans="1:7" hidden="1" x14ac:dyDescent="0.2">
      <c r="A546">
        <v>210217</v>
      </c>
      <c r="B546" t="s">
        <v>979</v>
      </c>
      <c r="C546">
        <v>4</v>
      </c>
      <c r="D546" s="1">
        <v>789.7</v>
      </c>
      <c r="E546" s="1">
        <v>789.7</v>
      </c>
      <c r="F546" s="1">
        <v>1048.2</v>
      </c>
      <c r="G546" s="1">
        <v>1048.2</v>
      </c>
    </row>
    <row r="547" spans="1:7" hidden="1" x14ac:dyDescent="0.2">
      <c r="A547">
        <v>210225</v>
      </c>
      <c r="B547" t="s">
        <v>768</v>
      </c>
      <c r="C547">
        <v>4</v>
      </c>
      <c r="D547" s="1">
        <v>0</v>
      </c>
      <c r="E547" s="1">
        <v>3997.86</v>
      </c>
      <c r="F547" s="1">
        <v>3997.86</v>
      </c>
      <c r="G547" s="1">
        <v>0</v>
      </c>
    </row>
    <row r="548" spans="1:7" hidden="1" x14ac:dyDescent="0.2">
      <c r="A548">
        <v>210228</v>
      </c>
      <c r="B548" t="s">
        <v>769</v>
      </c>
      <c r="C548">
        <v>4</v>
      </c>
      <c r="D548" s="1">
        <v>0</v>
      </c>
      <c r="E548" s="1">
        <v>100317.17</v>
      </c>
      <c r="F548" s="1">
        <v>100317.17</v>
      </c>
      <c r="G548" s="1">
        <v>0</v>
      </c>
    </row>
    <row r="549" spans="1:7" hidden="1" x14ac:dyDescent="0.2">
      <c r="A549">
        <v>210231</v>
      </c>
      <c r="B549" t="s">
        <v>872</v>
      </c>
      <c r="C549">
        <v>4</v>
      </c>
      <c r="D549" s="1">
        <v>0</v>
      </c>
      <c r="E549" s="1">
        <v>76.540000000000006</v>
      </c>
      <c r="F549" s="1">
        <v>76.540000000000006</v>
      </c>
      <c r="G549" s="1">
        <v>0</v>
      </c>
    </row>
    <row r="550" spans="1:7" hidden="1" x14ac:dyDescent="0.2">
      <c r="A550">
        <v>210250</v>
      </c>
      <c r="B550" t="s">
        <v>812</v>
      </c>
      <c r="C550">
        <v>4</v>
      </c>
      <c r="D550" s="1">
        <v>880</v>
      </c>
      <c r="E550" s="1">
        <v>0</v>
      </c>
      <c r="F550" s="1">
        <v>0</v>
      </c>
      <c r="G550" s="1">
        <v>880</v>
      </c>
    </row>
    <row r="551" spans="1:7" hidden="1" x14ac:dyDescent="0.2">
      <c r="A551">
        <v>210255</v>
      </c>
      <c r="B551" t="s">
        <v>1076</v>
      </c>
      <c r="C551">
        <v>4</v>
      </c>
      <c r="D551" s="1">
        <v>1708.5</v>
      </c>
      <c r="E551" s="1">
        <v>1708.5</v>
      </c>
      <c r="F551" s="1">
        <v>0</v>
      </c>
      <c r="G551" s="1">
        <v>0</v>
      </c>
    </row>
    <row r="552" spans="1:7" hidden="1" x14ac:dyDescent="0.2">
      <c r="A552">
        <v>210261</v>
      </c>
      <c r="B552" t="s">
        <v>888</v>
      </c>
      <c r="C552">
        <v>4</v>
      </c>
      <c r="D552" s="1">
        <v>2000</v>
      </c>
      <c r="E552" s="1">
        <v>1798.83</v>
      </c>
      <c r="F552" s="1">
        <v>0</v>
      </c>
      <c r="G552" s="1">
        <v>201.17</v>
      </c>
    </row>
    <row r="553" spans="1:7" hidden="1" x14ac:dyDescent="0.2">
      <c r="A553">
        <v>210275</v>
      </c>
      <c r="B553" t="s">
        <v>1077</v>
      </c>
      <c r="C553">
        <v>4</v>
      </c>
      <c r="D553" s="1">
        <v>0</v>
      </c>
      <c r="E553" s="1">
        <v>0</v>
      </c>
      <c r="F553" s="1">
        <v>989</v>
      </c>
      <c r="G553" s="1">
        <v>989</v>
      </c>
    </row>
    <row r="554" spans="1:7" hidden="1" x14ac:dyDescent="0.2">
      <c r="A554">
        <v>210341</v>
      </c>
      <c r="B554" t="s">
        <v>813</v>
      </c>
      <c r="C554">
        <v>4</v>
      </c>
      <c r="D554" s="1">
        <v>0</v>
      </c>
      <c r="E554" s="1">
        <v>239.2</v>
      </c>
      <c r="F554" s="1">
        <v>239.2</v>
      </c>
      <c r="G554" s="1">
        <v>0</v>
      </c>
    </row>
    <row r="555" spans="1:7" hidden="1" x14ac:dyDescent="0.2">
      <c r="A555">
        <v>210354</v>
      </c>
      <c r="B555" t="s">
        <v>831</v>
      </c>
      <c r="C555">
        <v>4</v>
      </c>
      <c r="D555" s="1">
        <v>1343.64</v>
      </c>
      <c r="E555" s="1">
        <v>350.88</v>
      </c>
      <c r="F555" s="1">
        <v>0</v>
      </c>
      <c r="G555" s="1">
        <v>992.76</v>
      </c>
    </row>
    <row r="556" spans="1:7" hidden="1" x14ac:dyDescent="0.2">
      <c r="A556">
        <v>210386</v>
      </c>
      <c r="B556" t="s">
        <v>832</v>
      </c>
      <c r="C556">
        <v>4</v>
      </c>
      <c r="D556" s="1">
        <v>60154.99</v>
      </c>
      <c r="E556" s="1">
        <v>58891.24</v>
      </c>
      <c r="F556" s="1">
        <v>16711.240000000002</v>
      </c>
      <c r="G556" s="1">
        <v>17974.990000000002</v>
      </c>
    </row>
    <row r="557" spans="1:7" hidden="1" x14ac:dyDescent="0.2">
      <c r="A557">
        <v>210396</v>
      </c>
      <c r="B557" t="s">
        <v>1016</v>
      </c>
      <c r="C557">
        <v>4</v>
      </c>
      <c r="D557" s="1">
        <v>-0.01</v>
      </c>
      <c r="E557" s="1">
        <v>0</v>
      </c>
      <c r="F557" s="1">
        <v>851.2</v>
      </c>
      <c r="G557" s="1">
        <v>851.19</v>
      </c>
    </row>
    <row r="558" spans="1:7" hidden="1" x14ac:dyDescent="0.2">
      <c r="A558">
        <v>210397</v>
      </c>
      <c r="B558" t="s">
        <v>850</v>
      </c>
      <c r="C558">
        <v>4</v>
      </c>
      <c r="D558" s="1">
        <v>269.8</v>
      </c>
      <c r="E558" s="1">
        <v>0</v>
      </c>
      <c r="F558" s="1">
        <v>0</v>
      </c>
      <c r="G558" s="1">
        <v>269.8</v>
      </c>
    </row>
    <row r="559" spans="1:7" hidden="1" x14ac:dyDescent="0.2">
      <c r="A559">
        <v>210408</v>
      </c>
      <c r="B559" t="s">
        <v>851</v>
      </c>
      <c r="C559">
        <v>4</v>
      </c>
      <c r="D559" s="1">
        <v>0</v>
      </c>
      <c r="E559" s="1">
        <v>16000</v>
      </c>
      <c r="F559" s="1">
        <v>16000</v>
      </c>
      <c r="G559" s="1">
        <v>0</v>
      </c>
    </row>
    <row r="560" spans="1:7" hidden="1" x14ac:dyDescent="0.2">
      <c r="A560">
        <v>210410</v>
      </c>
      <c r="B560" t="s">
        <v>1017</v>
      </c>
      <c r="C560">
        <v>4</v>
      </c>
      <c r="D560" s="1">
        <v>5360.88</v>
      </c>
      <c r="E560" s="1">
        <v>5884.38</v>
      </c>
      <c r="F560" s="1">
        <v>1615.5</v>
      </c>
      <c r="G560" s="1">
        <v>1092</v>
      </c>
    </row>
    <row r="561" spans="1:7" hidden="1" x14ac:dyDescent="0.2">
      <c r="A561">
        <v>210423</v>
      </c>
      <c r="B561" t="s">
        <v>852</v>
      </c>
      <c r="C561">
        <v>4</v>
      </c>
      <c r="D561" s="1">
        <v>205.69</v>
      </c>
      <c r="E561" s="1">
        <v>0</v>
      </c>
      <c r="F561" s="1">
        <v>0</v>
      </c>
      <c r="G561" s="1">
        <v>205.69</v>
      </c>
    </row>
    <row r="562" spans="1:7" hidden="1" x14ac:dyDescent="0.2">
      <c r="A562">
        <v>210455</v>
      </c>
      <c r="B562" t="s">
        <v>853</v>
      </c>
      <c r="C562">
        <v>4</v>
      </c>
      <c r="D562" s="1">
        <v>0</v>
      </c>
      <c r="E562" s="1">
        <v>1500</v>
      </c>
      <c r="F562" s="1">
        <v>1500</v>
      </c>
      <c r="G562" s="1">
        <v>0</v>
      </c>
    </row>
    <row r="563" spans="1:7" hidden="1" x14ac:dyDescent="0.2">
      <c r="A563">
        <v>210456</v>
      </c>
      <c r="B563" t="s">
        <v>1144</v>
      </c>
      <c r="C563">
        <v>4</v>
      </c>
      <c r="D563" s="1">
        <v>817.5</v>
      </c>
      <c r="E563" s="1">
        <v>817.5</v>
      </c>
      <c r="F563" s="1">
        <v>0</v>
      </c>
      <c r="G563" s="1">
        <v>0</v>
      </c>
    </row>
    <row r="564" spans="1:7" hidden="1" x14ac:dyDescent="0.2">
      <c r="A564">
        <v>210461</v>
      </c>
      <c r="B564" t="s">
        <v>1078</v>
      </c>
      <c r="C564">
        <v>4</v>
      </c>
      <c r="D564" s="1">
        <v>395.95</v>
      </c>
      <c r="E564" s="1">
        <v>395.95</v>
      </c>
      <c r="F564" s="1">
        <v>0</v>
      </c>
      <c r="G564" s="1">
        <v>0</v>
      </c>
    </row>
    <row r="565" spans="1:7" hidden="1" x14ac:dyDescent="0.2">
      <c r="A565">
        <v>210462</v>
      </c>
      <c r="B565" t="s">
        <v>873</v>
      </c>
      <c r="C565">
        <v>4</v>
      </c>
      <c r="D565" s="1">
        <v>173.57</v>
      </c>
      <c r="E565" s="1">
        <v>0</v>
      </c>
      <c r="F565" s="1">
        <v>0</v>
      </c>
      <c r="G565" s="1">
        <v>173.57</v>
      </c>
    </row>
    <row r="566" spans="1:7" hidden="1" x14ac:dyDescent="0.2">
      <c r="A566">
        <v>210496</v>
      </c>
      <c r="B566" t="s">
        <v>889</v>
      </c>
      <c r="C566">
        <v>4</v>
      </c>
      <c r="D566" s="1">
        <v>0</v>
      </c>
      <c r="E566" s="1">
        <v>1768.43</v>
      </c>
      <c r="F566" s="1">
        <v>1768.43</v>
      </c>
      <c r="G566" s="1">
        <v>0</v>
      </c>
    </row>
    <row r="567" spans="1:7" hidden="1" x14ac:dyDescent="0.2">
      <c r="A567">
        <v>210522</v>
      </c>
      <c r="B567" t="s">
        <v>1018</v>
      </c>
      <c r="C567">
        <v>4</v>
      </c>
      <c r="D567" s="1">
        <v>13866.68</v>
      </c>
      <c r="E567" s="1">
        <v>3466.67</v>
      </c>
      <c r="F567" s="1">
        <v>133</v>
      </c>
      <c r="G567" s="1">
        <v>10533.01</v>
      </c>
    </row>
    <row r="568" spans="1:7" hidden="1" x14ac:dyDescent="0.2">
      <c r="A568">
        <v>210525</v>
      </c>
      <c r="B568" t="s">
        <v>1079</v>
      </c>
      <c r="C568">
        <v>4</v>
      </c>
      <c r="D568" s="1">
        <v>1635</v>
      </c>
      <c r="E568" s="1">
        <v>1635</v>
      </c>
      <c r="F568" s="1">
        <v>608.02</v>
      </c>
      <c r="G568" s="1">
        <v>608.02</v>
      </c>
    </row>
    <row r="569" spans="1:7" hidden="1" x14ac:dyDescent="0.2">
      <c r="A569">
        <v>210528</v>
      </c>
      <c r="B569" t="s">
        <v>939</v>
      </c>
      <c r="C569">
        <v>4</v>
      </c>
      <c r="D569" s="1">
        <v>4000</v>
      </c>
      <c r="E569" s="1">
        <v>4000</v>
      </c>
      <c r="F569" s="1">
        <v>4000</v>
      </c>
      <c r="G569" s="1">
        <v>4000</v>
      </c>
    </row>
    <row r="570" spans="1:7" hidden="1" x14ac:dyDescent="0.2">
      <c r="A570">
        <v>210540</v>
      </c>
      <c r="B570" t="s">
        <v>1019</v>
      </c>
      <c r="C570">
        <v>4</v>
      </c>
      <c r="D570" s="1">
        <v>696.47</v>
      </c>
      <c r="E570" s="1">
        <v>696.47</v>
      </c>
      <c r="F570" s="1">
        <v>422.1</v>
      </c>
      <c r="G570" s="1">
        <v>422.1</v>
      </c>
    </row>
    <row r="571" spans="1:7" hidden="1" x14ac:dyDescent="0.2">
      <c r="A571">
        <v>210542</v>
      </c>
      <c r="B571" t="s">
        <v>1020</v>
      </c>
      <c r="C571">
        <v>4</v>
      </c>
      <c r="D571" s="1">
        <v>-133</v>
      </c>
      <c r="E571" s="1">
        <v>0</v>
      </c>
      <c r="F571" s="1">
        <v>0</v>
      </c>
      <c r="G571" s="1">
        <v>-133</v>
      </c>
    </row>
    <row r="572" spans="1:7" hidden="1" x14ac:dyDescent="0.2">
      <c r="A572">
        <v>210547</v>
      </c>
      <c r="B572" t="s">
        <v>1021</v>
      </c>
      <c r="C572">
        <v>4</v>
      </c>
      <c r="D572" s="1">
        <v>-209.5</v>
      </c>
      <c r="E572" s="1">
        <v>0</v>
      </c>
      <c r="F572" s="1">
        <v>0</v>
      </c>
      <c r="G572" s="1">
        <v>-209.5</v>
      </c>
    </row>
    <row r="573" spans="1:7" hidden="1" x14ac:dyDescent="0.2">
      <c r="A573">
        <v>210563</v>
      </c>
      <c r="B573" t="s">
        <v>1080</v>
      </c>
      <c r="C573">
        <v>4</v>
      </c>
      <c r="D573" s="1">
        <v>7000</v>
      </c>
      <c r="E573" s="1">
        <v>7000</v>
      </c>
      <c r="F573" s="1">
        <v>0</v>
      </c>
      <c r="G573" s="1">
        <v>0</v>
      </c>
    </row>
    <row r="574" spans="1:7" hidden="1" x14ac:dyDescent="0.2">
      <c r="A574">
        <v>210571</v>
      </c>
      <c r="B574" t="s">
        <v>1081</v>
      </c>
      <c r="C574">
        <v>4</v>
      </c>
      <c r="D574" s="1">
        <v>87</v>
      </c>
      <c r="E574" s="1">
        <v>174</v>
      </c>
      <c r="F574" s="1">
        <v>261</v>
      </c>
      <c r="G574" s="1">
        <v>174</v>
      </c>
    </row>
    <row r="575" spans="1:7" hidden="1" x14ac:dyDescent="0.2">
      <c r="A575">
        <v>210572</v>
      </c>
      <c r="B575" t="s">
        <v>1082</v>
      </c>
      <c r="C575">
        <v>4</v>
      </c>
      <c r="D575" s="1">
        <v>0</v>
      </c>
      <c r="E575" s="1">
        <v>740</v>
      </c>
      <c r="F575" s="1">
        <v>684.64</v>
      </c>
      <c r="G575" s="1">
        <v>-55.36</v>
      </c>
    </row>
    <row r="576" spans="1:7" hidden="1" x14ac:dyDescent="0.2">
      <c r="A576">
        <v>210575</v>
      </c>
      <c r="B576" t="s">
        <v>1022</v>
      </c>
      <c r="C576">
        <v>4</v>
      </c>
      <c r="D576" s="1">
        <v>5821.44</v>
      </c>
      <c r="E576" s="1">
        <v>3880.96</v>
      </c>
      <c r="F576" s="1">
        <v>0</v>
      </c>
      <c r="G576" s="1">
        <v>1940.48</v>
      </c>
    </row>
    <row r="577" spans="1:7" hidden="1" x14ac:dyDescent="0.2">
      <c r="A577">
        <v>210581</v>
      </c>
      <c r="B577" t="s">
        <v>1023</v>
      </c>
      <c r="C577">
        <v>4</v>
      </c>
      <c r="D577" s="1">
        <v>0</v>
      </c>
      <c r="E577" s="1">
        <v>0</v>
      </c>
      <c r="F577" s="1">
        <v>786</v>
      </c>
      <c r="G577" s="1">
        <v>786</v>
      </c>
    </row>
    <row r="578" spans="1:7" hidden="1" x14ac:dyDescent="0.2">
      <c r="A578">
        <v>210583</v>
      </c>
      <c r="B578" t="s">
        <v>1145</v>
      </c>
      <c r="C578">
        <v>4</v>
      </c>
      <c r="D578" s="1">
        <v>0</v>
      </c>
      <c r="E578" s="1">
        <v>3750</v>
      </c>
      <c r="F578" s="1">
        <v>8750</v>
      </c>
      <c r="G578" s="1">
        <v>5000</v>
      </c>
    </row>
    <row r="579" spans="1:7" hidden="1" x14ac:dyDescent="0.2">
      <c r="A579">
        <v>210585</v>
      </c>
      <c r="B579" t="s">
        <v>1083</v>
      </c>
      <c r="C579">
        <v>4</v>
      </c>
      <c r="D579" s="1">
        <v>0</v>
      </c>
      <c r="E579" s="1">
        <v>468</v>
      </c>
      <c r="F579" s="1">
        <v>468</v>
      </c>
      <c r="G579" s="1">
        <v>0</v>
      </c>
    </row>
    <row r="580" spans="1:7" hidden="1" x14ac:dyDescent="0.2">
      <c r="A580">
        <v>210587</v>
      </c>
      <c r="B580" t="s">
        <v>1084</v>
      </c>
      <c r="C580">
        <v>4</v>
      </c>
      <c r="D580" s="1">
        <v>827.4</v>
      </c>
      <c r="E580" s="1">
        <v>827.4</v>
      </c>
      <c r="F580" s="1">
        <v>0</v>
      </c>
      <c r="G580" s="1">
        <v>0</v>
      </c>
    </row>
    <row r="581" spans="1:7" hidden="1" x14ac:dyDescent="0.2">
      <c r="A581">
        <v>210588</v>
      </c>
      <c r="B581" t="s">
        <v>1146</v>
      </c>
      <c r="C581">
        <v>4</v>
      </c>
      <c r="D581" s="1">
        <v>0</v>
      </c>
      <c r="E581" s="1">
        <v>71253.87</v>
      </c>
      <c r="F581" s="1">
        <v>135247.74</v>
      </c>
      <c r="G581" s="1">
        <v>63993.87</v>
      </c>
    </row>
    <row r="582" spans="1:7" hidden="1" x14ac:dyDescent="0.2">
      <c r="A582">
        <v>210593</v>
      </c>
      <c r="B582" t="s">
        <v>1085</v>
      </c>
      <c r="C582">
        <v>4</v>
      </c>
      <c r="D582" s="1">
        <v>0</v>
      </c>
      <c r="E582" s="1">
        <v>0</v>
      </c>
      <c r="F582" s="1">
        <v>203.65</v>
      </c>
      <c r="G582" s="1">
        <v>203.65</v>
      </c>
    </row>
    <row r="583" spans="1:7" hidden="1" x14ac:dyDescent="0.2">
      <c r="A583">
        <v>210594</v>
      </c>
      <c r="B583" t="s">
        <v>1147</v>
      </c>
      <c r="C583">
        <v>4</v>
      </c>
      <c r="D583" s="1">
        <v>0</v>
      </c>
      <c r="E583" s="1">
        <v>2500</v>
      </c>
      <c r="F583" s="1">
        <v>2500</v>
      </c>
      <c r="G583" s="1">
        <v>0</v>
      </c>
    </row>
    <row r="584" spans="1:7" hidden="1" x14ac:dyDescent="0.2">
      <c r="A584">
        <v>210597</v>
      </c>
      <c r="B584" t="s">
        <v>1148</v>
      </c>
      <c r="C584">
        <v>4</v>
      </c>
      <c r="D584" s="1">
        <v>1958.18</v>
      </c>
      <c r="E584" s="1">
        <v>1958.18</v>
      </c>
      <c r="F584" s="1">
        <v>1187.83</v>
      </c>
      <c r="G584" s="1">
        <v>1187.83</v>
      </c>
    </row>
    <row r="585" spans="1:7" hidden="1" x14ac:dyDescent="0.2">
      <c r="A585">
        <v>210599</v>
      </c>
      <c r="B585" t="s">
        <v>1086</v>
      </c>
      <c r="C585">
        <v>4</v>
      </c>
      <c r="D585" s="1">
        <v>3195</v>
      </c>
      <c r="E585" s="1">
        <v>4260</v>
      </c>
      <c r="F585" s="1">
        <v>1065</v>
      </c>
      <c r="G585" s="1">
        <v>0</v>
      </c>
    </row>
    <row r="586" spans="1:7" hidden="1" x14ac:dyDescent="0.2">
      <c r="A586">
        <v>210614</v>
      </c>
      <c r="B586" t="s">
        <v>1087</v>
      </c>
      <c r="C586">
        <v>4</v>
      </c>
      <c r="D586" s="1">
        <v>0</v>
      </c>
      <c r="E586" s="1">
        <v>0</v>
      </c>
      <c r="F586" s="1">
        <v>13583</v>
      </c>
      <c r="G586" s="1">
        <v>13583</v>
      </c>
    </row>
    <row r="587" spans="1:7" hidden="1" x14ac:dyDescent="0.2">
      <c r="A587">
        <v>210615</v>
      </c>
      <c r="B587" t="s">
        <v>1088</v>
      </c>
      <c r="C587">
        <v>4</v>
      </c>
      <c r="D587" s="1">
        <v>3239.7</v>
      </c>
      <c r="E587" s="1">
        <v>3239.7</v>
      </c>
      <c r="F587" s="1">
        <v>774.64</v>
      </c>
      <c r="G587" s="1">
        <v>774.64</v>
      </c>
    </row>
    <row r="588" spans="1:7" hidden="1" x14ac:dyDescent="0.2">
      <c r="A588">
        <v>210616</v>
      </c>
      <c r="B588" t="s">
        <v>1149</v>
      </c>
      <c r="C588">
        <v>4</v>
      </c>
      <c r="D588" s="1">
        <v>5245.6</v>
      </c>
      <c r="E588" s="1">
        <v>5245.6</v>
      </c>
      <c r="F588" s="1">
        <v>0</v>
      </c>
      <c r="G588" s="1">
        <v>0</v>
      </c>
    </row>
    <row r="589" spans="1:7" hidden="1" x14ac:dyDescent="0.2">
      <c r="A589">
        <v>210617</v>
      </c>
      <c r="B589" t="s">
        <v>1150</v>
      </c>
      <c r="C589">
        <v>4</v>
      </c>
      <c r="D589" s="1">
        <v>12936</v>
      </c>
      <c r="E589" s="1">
        <v>12936</v>
      </c>
      <c r="F589" s="1">
        <v>0</v>
      </c>
      <c r="G589" s="1">
        <v>0</v>
      </c>
    </row>
    <row r="590" spans="1:7" hidden="1" x14ac:dyDescent="0.2">
      <c r="A590">
        <v>210621</v>
      </c>
      <c r="B590" t="s">
        <v>1089</v>
      </c>
      <c r="C590">
        <v>4</v>
      </c>
      <c r="D590" s="1">
        <v>0</v>
      </c>
      <c r="E590" s="1">
        <v>105</v>
      </c>
      <c r="F590" s="1">
        <v>105</v>
      </c>
      <c r="G590" s="1">
        <v>0</v>
      </c>
    </row>
    <row r="591" spans="1:7" hidden="1" x14ac:dyDescent="0.2">
      <c r="A591">
        <v>210625</v>
      </c>
      <c r="B591" t="s">
        <v>1151</v>
      </c>
      <c r="C591">
        <v>4</v>
      </c>
      <c r="D591" s="1">
        <v>520</v>
      </c>
      <c r="E591" s="1">
        <v>520</v>
      </c>
      <c r="F591" s="1">
        <v>216</v>
      </c>
      <c r="G591" s="1">
        <v>216</v>
      </c>
    </row>
    <row r="592" spans="1:7" hidden="1" x14ac:dyDescent="0.2">
      <c r="A592">
        <v>210626</v>
      </c>
      <c r="B592" t="s">
        <v>1276</v>
      </c>
      <c r="C592">
        <v>4</v>
      </c>
      <c r="D592" s="1">
        <v>0</v>
      </c>
      <c r="E592" s="1">
        <v>5502.24</v>
      </c>
      <c r="F592" s="1">
        <v>10316.700000000001</v>
      </c>
      <c r="G592" s="1">
        <v>4814.46</v>
      </c>
    </row>
    <row r="593" spans="1:7" hidden="1" x14ac:dyDescent="0.2">
      <c r="A593">
        <v>210627</v>
      </c>
      <c r="B593" t="s">
        <v>1152</v>
      </c>
      <c r="C593">
        <v>4</v>
      </c>
      <c r="D593" s="1">
        <v>3753.46</v>
      </c>
      <c r="E593" s="1">
        <v>8871.82</v>
      </c>
      <c r="F593" s="1">
        <v>5118.3599999999997</v>
      </c>
      <c r="G593" s="1">
        <v>0</v>
      </c>
    </row>
    <row r="594" spans="1:7" hidden="1" x14ac:dyDescent="0.2">
      <c r="A594">
        <v>210630</v>
      </c>
      <c r="B594" t="s">
        <v>1153</v>
      </c>
      <c r="C594">
        <v>4</v>
      </c>
      <c r="D594" s="1">
        <v>94000</v>
      </c>
      <c r="E594" s="1">
        <v>41360</v>
      </c>
      <c r="F594" s="1">
        <v>0</v>
      </c>
      <c r="G594" s="1">
        <v>52640</v>
      </c>
    </row>
    <row r="595" spans="1:7" hidden="1" x14ac:dyDescent="0.2">
      <c r="A595">
        <v>210632</v>
      </c>
      <c r="B595" t="s">
        <v>1154</v>
      </c>
      <c r="C595">
        <v>4</v>
      </c>
      <c r="D595" s="1">
        <v>3963.81</v>
      </c>
      <c r="E595" s="1">
        <v>4200.8100000000004</v>
      </c>
      <c r="F595" s="1">
        <v>1212</v>
      </c>
      <c r="G595" s="1">
        <v>975</v>
      </c>
    </row>
    <row r="596" spans="1:7" hidden="1" x14ac:dyDescent="0.2">
      <c r="A596">
        <v>210639</v>
      </c>
      <c r="B596" t="s">
        <v>1277</v>
      </c>
      <c r="C596">
        <v>4</v>
      </c>
      <c r="D596" s="1">
        <v>0</v>
      </c>
      <c r="E596" s="1">
        <v>719</v>
      </c>
      <c r="F596" s="1">
        <v>1509</v>
      </c>
      <c r="G596" s="1">
        <v>790</v>
      </c>
    </row>
    <row r="597" spans="1:7" hidden="1" x14ac:dyDescent="0.2">
      <c r="A597">
        <v>210643</v>
      </c>
      <c r="B597" t="s">
        <v>1155</v>
      </c>
      <c r="C597">
        <v>4</v>
      </c>
      <c r="D597" s="1">
        <v>4500</v>
      </c>
      <c r="E597" s="1">
        <v>6000</v>
      </c>
      <c r="F597" s="1">
        <v>3000</v>
      </c>
      <c r="G597" s="1">
        <v>1500</v>
      </c>
    </row>
    <row r="598" spans="1:7" hidden="1" x14ac:dyDescent="0.2">
      <c r="A598">
        <v>210644</v>
      </c>
      <c r="B598" t="s">
        <v>1156</v>
      </c>
      <c r="C598">
        <v>4</v>
      </c>
      <c r="D598" s="1">
        <v>5617.79</v>
      </c>
      <c r="E598" s="1">
        <v>5617.79</v>
      </c>
      <c r="F598" s="1">
        <v>0</v>
      </c>
      <c r="G598" s="1">
        <v>0</v>
      </c>
    </row>
    <row r="599" spans="1:7" hidden="1" x14ac:dyDescent="0.2">
      <c r="A599">
        <v>210645</v>
      </c>
      <c r="B599" t="s">
        <v>1157</v>
      </c>
      <c r="C599">
        <v>4</v>
      </c>
      <c r="D599" s="1">
        <v>758</v>
      </c>
      <c r="E599" s="1">
        <v>3368</v>
      </c>
      <c r="F599" s="1">
        <v>2610</v>
      </c>
      <c r="G599" s="1">
        <v>0</v>
      </c>
    </row>
    <row r="600" spans="1:7" hidden="1" x14ac:dyDescent="0.2">
      <c r="A600">
        <v>210647</v>
      </c>
      <c r="B600" t="s">
        <v>1278</v>
      </c>
      <c r="C600">
        <v>4</v>
      </c>
      <c r="D600" s="1">
        <v>0</v>
      </c>
      <c r="E600" s="1">
        <v>0</v>
      </c>
      <c r="F600" s="1">
        <v>1720</v>
      </c>
      <c r="G600" s="1">
        <v>1720</v>
      </c>
    </row>
    <row r="601" spans="1:7" hidden="1" x14ac:dyDescent="0.2">
      <c r="A601">
        <v>210648</v>
      </c>
      <c r="B601" t="s">
        <v>1158</v>
      </c>
      <c r="C601">
        <v>4</v>
      </c>
      <c r="D601" s="1">
        <v>2806.1</v>
      </c>
      <c r="E601" s="1">
        <v>4150.1000000000004</v>
      </c>
      <c r="F601" s="1">
        <v>1344</v>
      </c>
      <c r="G601" s="1">
        <v>0</v>
      </c>
    </row>
    <row r="602" spans="1:7" hidden="1" x14ac:dyDescent="0.2">
      <c r="A602">
        <v>210649</v>
      </c>
      <c r="B602" t="s">
        <v>1159</v>
      </c>
      <c r="C602">
        <v>4</v>
      </c>
      <c r="D602" s="1">
        <v>18710</v>
      </c>
      <c r="E602" s="1">
        <v>12473.33</v>
      </c>
      <c r="F602" s="1">
        <v>0</v>
      </c>
      <c r="G602" s="1">
        <v>6236.67</v>
      </c>
    </row>
    <row r="603" spans="1:7" hidden="1" x14ac:dyDescent="0.2">
      <c r="A603">
        <v>210652</v>
      </c>
      <c r="B603" t="s">
        <v>1160</v>
      </c>
      <c r="C603">
        <v>4</v>
      </c>
      <c r="D603" s="1">
        <v>350</v>
      </c>
      <c r="E603" s="1">
        <v>350</v>
      </c>
      <c r="F603" s="1">
        <v>0</v>
      </c>
      <c r="G603" s="1">
        <v>0</v>
      </c>
    </row>
    <row r="604" spans="1:7" hidden="1" x14ac:dyDescent="0.2">
      <c r="A604">
        <v>210658</v>
      </c>
      <c r="B604" t="s">
        <v>1279</v>
      </c>
      <c r="C604">
        <v>4</v>
      </c>
      <c r="D604" s="1">
        <v>0</v>
      </c>
      <c r="E604" s="1">
        <v>0</v>
      </c>
      <c r="F604" s="1">
        <v>37720</v>
      </c>
      <c r="G604" s="1">
        <v>37720</v>
      </c>
    </row>
    <row r="605" spans="1:7" hidden="1" x14ac:dyDescent="0.2">
      <c r="A605">
        <v>210661</v>
      </c>
      <c r="B605" t="s">
        <v>1161</v>
      </c>
      <c r="C605">
        <v>4</v>
      </c>
      <c r="D605" s="1">
        <v>414.09</v>
      </c>
      <c r="E605" s="1">
        <v>414.09</v>
      </c>
      <c r="F605" s="1">
        <v>0</v>
      </c>
      <c r="G605" s="1">
        <v>0</v>
      </c>
    </row>
    <row r="606" spans="1:7" hidden="1" x14ac:dyDescent="0.2">
      <c r="A606">
        <v>210662</v>
      </c>
      <c r="B606" t="s">
        <v>1162</v>
      </c>
      <c r="C606">
        <v>4</v>
      </c>
      <c r="D606" s="1">
        <v>390</v>
      </c>
      <c r="E606" s="1">
        <v>390</v>
      </c>
      <c r="F606" s="1">
        <v>0</v>
      </c>
      <c r="G606" s="1">
        <v>0</v>
      </c>
    </row>
    <row r="607" spans="1:7" hidden="1" x14ac:dyDescent="0.2">
      <c r="A607">
        <v>210664</v>
      </c>
      <c r="B607" t="s">
        <v>1280</v>
      </c>
      <c r="C607">
        <v>4</v>
      </c>
      <c r="D607" s="1">
        <v>0</v>
      </c>
      <c r="E607" s="1">
        <v>0</v>
      </c>
      <c r="F607" s="1">
        <v>9945</v>
      </c>
      <c r="G607" s="1">
        <v>9945</v>
      </c>
    </row>
    <row r="608" spans="1:7" hidden="1" x14ac:dyDescent="0.2">
      <c r="A608">
        <v>210674</v>
      </c>
      <c r="B608" t="s">
        <v>1281</v>
      </c>
      <c r="C608">
        <v>4</v>
      </c>
      <c r="D608" s="1">
        <v>0</v>
      </c>
      <c r="E608" s="1">
        <v>52.46</v>
      </c>
      <c r="F608" s="1">
        <v>52.46</v>
      </c>
      <c r="G608" s="1">
        <v>0</v>
      </c>
    </row>
    <row r="609" spans="1:7" hidden="1" x14ac:dyDescent="0.2">
      <c r="A609">
        <v>210675</v>
      </c>
      <c r="B609" t="s">
        <v>1282</v>
      </c>
      <c r="C609">
        <v>4</v>
      </c>
      <c r="D609" s="1">
        <v>0</v>
      </c>
      <c r="E609" s="1">
        <v>0</v>
      </c>
      <c r="F609" s="1">
        <v>1280</v>
      </c>
      <c r="G609" s="1">
        <v>1280</v>
      </c>
    </row>
    <row r="610" spans="1:7" hidden="1" x14ac:dyDescent="0.2">
      <c r="A610">
        <v>210678</v>
      </c>
      <c r="B610" t="s">
        <v>1283</v>
      </c>
      <c r="C610">
        <v>4</v>
      </c>
      <c r="D610" s="1">
        <v>0</v>
      </c>
      <c r="E610" s="1">
        <v>0</v>
      </c>
      <c r="F610" s="1">
        <v>22014.92</v>
      </c>
      <c r="G610" s="1">
        <v>22014.92</v>
      </c>
    </row>
    <row r="611" spans="1:7" hidden="1" x14ac:dyDescent="0.2">
      <c r="A611">
        <v>210682</v>
      </c>
      <c r="B611" t="s">
        <v>1284</v>
      </c>
      <c r="C611">
        <v>4</v>
      </c>
      <c r="D611" s="1">
        <v>0</v>
      </c>
      <c r="E611" s="1">
        <v>918</v>
      </c>
      <c r="F611" s="1">
        <v>918</v>
      </c>
      <c r="G611" s="1">
        <v>0</v>
      </c>
    </row>
    <row r="612" spans="1:7" hidden="1" x14ac:dyDescent="0.2">
      <c r="A612">
        <v>210684</v>
      </c>
      <c r="B612" t="s">
        <v>1285</v>
      </c>
      <c r="C612">
        <v>4</v>
      </c>
      <c r="D612" s="1">
        <v>0</v>
      </c>
      <c r="E612" s="1">
        <v>4.9000000000000004</v>
      </c>
      <c r="F612" s="1">
        <v>4.9000000000000004</v>
      </c>
      <c r="G612" s="1">
        <v>0</v>
      </c>
    </row>
    <row r="613" spans="1:7" hidden="1" x14ac:dyDescent="0.2">
      <c r="A613">
        <v>210685</v>
      </c>
      <c r="B613" t="s">
        <v>1286</v>
      </c>
      <c r="C613">
        <v>4</v>
      </c>
      <c r="D613" s="1">
        <v>0</v>
      </c>
      <c r="E613" s="1">
        <v>161</v>
      </c>
      <c r="F613" s="1">
        <v>161</v>
      </c>
      <c r="G613" s="1">
        <v>0</v>
      </c>
    </row>
    <row r="614" spans="1:7" hidden="1" x14ac:dyDescent="0.2">
      <c r="A614">
        <v>210686</v>
      </c>
      <c r="B614" t="s">
        <v>1287</v>
      </c>
      <c r="C614">
        <v>4</v>
      </c>
      <c r="D614" s="1">
        <v>0</v>
      </c>
      <c r="E614" s="1">
        <v>30.03</v>
      </c>
      <c r="F614" s="1">
        <v>30.03</v>
      </c>
      <c r="G614" s="1">
        <v>0</v>
      </c>
    </row>
    <row r="615" spans="1:7" hidden="1" x14ac:dyDescent="0.2">
      <c r="A615">
        <v>210860</v>
      </c>
      <c r="B615" t="s">
        <v>1288</v>
      </c>
      <c r="C615">
        <v>4</v>
      </c>
      <c r="D615" s="1">
        <v>0</v>
      </c>
      <c r="E615" s="1">
        <v>140</v>
      </c>
      <c r="F615" s="1">
        <v>140</v>
      </c>
      <c r="G615" s="1">
        <v>0</v>
      </c>
    </row>
    <row r="616" spans="1:7" hidden="1" x14ac:dyDescent="0.2">
      <c r="A616">
        <v>212145</v>
      </c>
      <c r="B616" t="s">
        <v>1024</v>
      </c>
      <c r="C616">
        <v>4</v>
      </c>
      <c r="D616" s="1">
        <v>546.47</v>
      </c>
      <c r="E616" s="1">
        <v>546.47</v>
      </c>
      <c r="F616" s="1">
        <v>0</v>
      </c>
      <c r="G616" s="1">
        <v>0</v>
      </c>
    </row>
    <row r="617" spans="1:7" hidden="1" x14ac:dyDescent="0.2">
      <c r="A617">
        <v>213010</v>
      </c>
      <c r="B617" t="s">
        <v>1289</v>
      </c>
      <c r="C617">
        <v>4</v>
      </c>
      <c r="D617" s="1">
        <v>0</v>
      </c>
      <c r="E617" s="1">
        <v>224</v>
      </c>
      <c r="F617" s="1">
        <v>224</v>
      </c>
      <c r="G617" s="1">
        <v>0</v>
      </c>
    </row>
    <row r="618" spans="1:7" hidden="1" x14ac:dyDescent="0.2">
      <c r="A618">
        <v>213480</v>
      </c>
      <c r="B618" t="s">
        <v>1025</v>
      </c>
      <c r="C618">
        <v>4</v>
      </c>
      <c r="D618" s="1">
        <v>1360.36</v>
      </c>
      <c r="E618" s="1">
        <v>1360.36</v>
      </c>
      <c r="F618" s="1">
        <v>205.76</v>
      </c>
      <c r="G618" s="1">
        <v>205.76</v>
      </c>
    </row>
    <row r="619" spans="1:7" hidden="1" x14ac:dyDescent="0.2">
      <c r="A619">
        <v>213530</v>
      </c>
      <c r="B619" t="s">
        <v>1163</v>
      </c>
      <c r="C619">
        <v>4</v>
      </c>
      <c r="D619" s="1">
        <v>4919.32</v>
      </c>
      <c r="E619" s="1">
        <v>5839.47</v>
      </c>
      <c r="F619" s="1">
        <v>920.15</v>
      </c>
      <c r="G619" s="1">
        <v>0</v>
      </c>
    </row>
    <row r="620" spans="1:7" hidden="1" x14ac:dyDescent="0.2">
      <c r="A620">
        <v>213970</v>
      </c>
      <c r="B620" t="s">
        <v>338</v>
      </c>
      <c r="C620">
        <v>4</v>
      </c>
      <c r="D620" s="1">
        <v>8638.31</v>
      </c>
      <c r="E620" s="1">
        <v>20991.14</v>
      </c>
      <c r="F620" s="1">
        <v>20991.14</v>
      </c>
      <c r="G620" s="1">
        <v>8638.31</v>
      </c>
    </row>
    <row r="621" spans="1:7" hidden="1" x14ac:dyDescent="0.2">
      <c r="A621">
        <v>214695</v>
      </c>
      <c r="B621" t="s">
        <v>940</v>
      </c>
      <c r="C621">
        <v>4</v>
      </c>
      <c r="D621" s="1">
        <v>1819.46</v>
      </c>
      <c r="E621" s="1">
        <v>1819.46</v>
      </c>
      <c r="F621" s="1">
        <v>9715.68</v>
      </c>
      <c r="G621" s="1">
        <v>9715.68</v>
      </c>
    </row>
    <row r="622" spans="1:7" hidden="1" x14ac:dyDescent="0.2">
      <c r="A622">
        <v>222104</v>
      </c>
      <c r="B622" t="s">
        <v>1290</v>
      </c>
      <c r="C622">
        <v>4</v>
      </c>
      <c r="D622" s="1">
        <v>0</v>
      </c>
      <c r="E622" s="1">
        <v>0</v>
      </c>
      <c r="F622" s="1">
        <v>313.60000000000002</v>
      </c>
      <c r="G622" s="1">
        <v>313.60000000000002</v>
      </c>
    </row>
    <row r="623" spans="1:7" hidden="1" x14ac:dyDescent="0.2">
      <c r="A623">
        <v>222173</v>
      </c>
      <c r="B623" t="s">
        <v>339</v>
      </c>
      <c r="C623">
        <v>4</v>
      </c>
      <c r="D623" s="1">
        <v>195.8</v>
      </c>
      <c r="E623" s="1">
        <v>0</v>
      </c>
      <c r="F623" s="1">
        <v>0</v>
      </c>
      <c r="G623" s="1">
        <v>195.8</v>
      </c>
    </row>
    <row r="624" spans="1:7" hidden="1" x14ac:dyDescent="0.2">
      <c r="A624">
        <v>222206</v>
      </c>
      <c r="B624" t="s">
        <v>814</v>
      </c>
      <c r="C624">
        <v>4</v>
      </c>
      <c r="D624" s="1">
        <v>2844.54</v>
      </c>
      <c r="E624" s="1">
        <v>0</v>
      </c>
      <c r="F624" s="1">
        <v>0</v>
      </c>
      <c r="G624" s="1">
        <v>2844.54</v>
      </c>
    </row>
    <row r="625" spans="1:7" hidden="1" x14ac:dyDescent="0.2">
      <c r="A625">
        <v>222294</v>
      </c>
      <c r="B625" t="s">
        <v>340</v>
      </c>
      <c r="C625">
        <v>4</v>
      </c>
      <c r="D625" s="1">
        <v>0</v>
      </c>
      <c r="E625" s="1">
        <v>0</v>
      </c>
      <c r="F625" s="1">
        <v>4889.6000000000004</v>
      </c>
      <c r="G625" s="1">
        <v>4889.6000000000004</v>
      </c>
    </row>
    <row r="626" spans="1:7" hidden="1" x14ac:dyDescent="0.2">
      <c r="A626">
        <v>222388</v>
      </c>
      <c r="B626" t="s">
        <v>309</v>
      </c>
      <c r="C626">
        <v>4</v>
      </c>
      <c r="D626" s="1">
        <v>0</v>
      </c>
      <c r="E626" s="1">
        <v>185</v>
      </c>
      <c r="F626" s="1">
        <v>185</v>
      </c>
      <c r="G626" s="1">
        <v>0</v>
      </c>
    </row>
    <row r="627" spans="1:7" hidden="1" x14ac:dyDescent="0.2">
      <c r="A627">
        <v>222530</v>
      </c>
      <c r="B627" t="s">
        <v>1090</v>
      </c>
      <c r="C627">
        <v>4</v>
      </c>
      <c r="D627" s="1">
        <v>575.61</v>
      </c>
      <c r="E627" s="1">
        <v>5179.6099999999997</v>
      </c>
      <c r="F627" s="1">
        <v>7348.13</v>
      </c>
      <c r="G627" s="1">
        <v>2744.13</v>
      </c>
    </row>
    <row r="628" spans="1:7" hidden="1" x14ac:dyDescent="0.2">
      <c r="A628">
        <v>222619</v>
      </c>
      <c r="B628" t="s">
        <v>980</v>
      </c>
      <c r="C628">
        <v>4</v>
      </c>
      <c r="D628" s="1">
        <v>4405.03</v>
      </c>
      <c r="E628" s="1">
        <v>4405.03</v>
      </c>
      <c r="F628" s="1">
        <v>4295.91</v>
      </c>
      <c r="G628" s="1">
        <v>4295.91</v>
      </c>
    </row>
    <row r="629" spans="1:7" hidden="1" x14ac:dyDescent="0.2">
      <c r="A629">
        <v>223064</v>
      </c>
      <c r="B629" t="s">
        <v>854</v>
      </c>
      <c r="C629">
        <v>4</v>
      </c>
      <c r="D629" s="1">
        <v>2400</v>
      </c>
      <c r="E629" s="1">
        <v>0</v>
      </c>
      <c r="F629" s="1">
        <v>0</v>
      </c>
      <c r="G629" s="1">
        <v>2400</v>
      </c>
    </row>
    <row r="630" spans="1:7" hidden="1" x14ac:dyDescent="0.2">
      <c r="A630">
        <v>223112</v>
      </c>
      <c r="B630" t="s">
        <v>1091</v>
      </c>
      <c r="C630">
        <v>4</v>
      </c>
      <c r="D630" s="1">
        <v>660</v>
      </c>
      <c r="E630" s="1">
        <v>660</v>
      </c>
      <c r="F630" s="1">
        <v>520</v>
      </c>
      <c r="G630" s="1">
        <v>520</v>
      </c>
    </row>
    <row r="631" spans="1:7" hidden="1" x14ac:dyDescent="0.2">
      <c r="A631">
        <v>223191</v>
      </c>
      <c r="B631" t="s">
        <v>1026</v>
      </c>
      <c r="C631">
        <v>4</v>
      </c>
      <c r="D631" s="1">
        <v>343.92</v>
      </c>
      <c r="E631" s="1">
        <v>343.92</v>
      </c>
      <c r="F631" s="1">
        <v>0</v>
      </c>
      <c r="G631" s="1">
        <v>0</v>
      </c>
    </row>
    <row r="632" spans="1:7" hidden="1" x14ac:dyDescent="0.2">
      <c r="A632">
        <v>223231</v>
      </c>
      <c r="B632" t="s">
        <v>341</v>
      </c>
      <c r="C632">
        <v>4</v>
      </c>
      <c r="D632" s="1">
        <v>4631.9799999999996</v>
      </c>
      <c r="E632" s="1">
        <v>4631.9799999999996</v>
      </c>
      <c r="F632" s="1">
        <v>3551.32</v>
      </c>
      <c r="G632" s="1">
        <v>3551.32</v>
      </c>
    </row>
    <row r="633" spans="1:7" hidden="1" x14ac:dyDescent="0.2">
      <c r="A633">
        <v>223255</v>
      </c>
      <c r="B633" t="s">
        <v>890</v>
      </c>
      <c r="C633">
        <v>4</v>
      </c>
      <c r="D633" s="1">
        <v>43.02</v>
      </c>
      <c r="E633" s="1">
        <v>455.26</v>
      </c>
      <c r="F633" s="1">
        <v>455.26</v>
      </c>
      <c r="G633" s="1">
        <v>43.02</v>
      </c>
    </row>
    <row r="634" spans="1:7" hidden="1" x14ac:dyDescent="0.2">
      <c r="A634">
        <v>223313</v>
      </c>
      <c r="B634" t="s">
        <v>342</v>
      </c>
      <c r="C634">
        <v>4</v>
      </c>
      <c r="D634" s="1">
        <v>0.04</v>
      </c>
      <c r="E634" s="1">
        <v>0</v>
      </c>
      <c r="F634" s="1">
        <v>0</v>
      </c>
      <c r="G634" s="1">
        <v>0.04</v>
      </c>
    </row>
    <row r="635" spans="1:7" hidden="1" x14ac:dyDescent="0.2">
      <c r="A635">
        <v>223351</v>
      </c>
      <c r="B635" t="s">
        <v>343</v>
      </c>
      <c r="C635">
        <v>4</v>
      </c>
      <c r="D635" s="1">
        <v>566.42999999999995</v>
      </c>
      <c r="E635" s="1">
        <v>584</v>
      </c>
      <c r="F635" s="1">
        <v>1088.7</v>
      </c>
      <c r="G635" s="1">
        <v>1071.1300000000001</v>
      </c>
    </row>
    <row r="636" spans="1:7" hidden="1" x14ac:dyDescent="0.2">
      <c r="A636">
        <v>223379</v>
      </c>
      <c r="B636" t="s">
        <v>344</v>
      </c>
      <c r="C636">
        <v>4</v>
      </c>
      <c r="D636" s="1">
        <v>7624.72</v>
      </c>
      <c r="E636" s="1">
        <v>5086.95</v>
      </c>
      <c r="F636" s="1">
        <v>4568</v>
      </c>
      <c r="G636" s="1">
        <v>7105.77</v>
      </c>
    </row>
    <row r="637" spans="1:7" hidden="1" x14ac:dyDescent="0.2">
      <c r="A637">
        <v>223545</v>
      </c>
      <c r="B637" t="s">
        <v>1291</v>
      </c>
      <c r="C637">
        <v>4</v>
      </c>
      <c r="D637" s="1">
        <v>0</v>
      </c>
      <c r="E637" s="1">
        <v>0</v>
      </c>
      <c r="F637" s="1">
        <v>507.87</v>
      </c>
      <c r="G637" s="1">
        <v>507.87</v>
      </c>
    </row>
    <row r="638" spans="1:7" hidden="1" x14ac:dyDescent="0.2">
      <c r="A638">
        <v>223580</v>
      </c>
      <c r="B638" t="s">
        <v>1027</v>
      </c>
      <c r="C638">
        <v>4</v>
      </c>
      <c r="D638" s="1">
        <v>166</v>
      </c>
      <c r="E638" s="1">
        <v>166</v>
      </c>
      <c r="F638" s="1">
        <v>256.7</v>
      </c>
      <c r="G638" s="1">
        <v>256.7</v>
      </c>
    </row>
    <row r="639" spans="1:7" hidden="1" x14ac:dyDescent="0.2">
      <c r="A639">
        <v>223724</v>
      </c>
      <c r="B639" t="s">
        <v>345</v>
      </c>
      <c r="C639">
        <v>4</v>
      </c>
      <c r="D639" s="1">
        <v>3167.42</v>
      </c>
      <c r="E639" s="1">
        <v>3966.5</v>
      </c>
      <c r="F639" s="1">
        <v>4605.93</v>
      </c>
      <c r="G639" s="1">
        <v>3806.85</v>
      </c>
    </row>
    <row r="640" spans="1:7" hidden="1" x14ac:dyDescent="0.2">
      <c r="A640">
        <v>223738</v>
      </c>
      <c r="B640" t="s">
        <v>1028</v>
      </c>
      <c r="C640">
        <v>4</v>
      </c>
      <c r="D640" s="1">
        <v>1217.9100000000001</v>
      </c>
      <c r="E640" s="1">
        <v>3116.41</v>
      </c>
      <c r="F640" s="1">
        <v>5595.55</v>
      </c>
      <c r="G640" s="1">
        <v>3697.05</v>
      </c>
    </row>
    <row r="641" spans="1:7" hidden="1" x14ac:dyDescent="0.2">
      <c r="A641">
        <v>224094</v>
      </c>
      <c r="B641" t="s">
        <v>683</v>
      </c>
      <c r="C641">
        <v>4</v>
      </c>
      <c r="D641" s="1">
        <v>570.46</v>
      </c>
      <c r="E641" s="1">
        <v>0</v>
      </c>
      <c r="F641" s="1">
        <v>0</v>
      </c>
      <c r="G641" s="1">
        <v>570.46</v>
      </c>
    </row>
    <row r="642" spans="1:7" hidden="1" x14ac:dyDescent="0.2">
      <c r="A642">
        <v>224294</v>
      </c>
      <c r="B642" t="s">
        <v>346</v>
      </c>
      <c r="C642">
        <v>4</v>
      </c>
      <c r="D642" s="1">
        <v>4359.03</v>
      </c>
      <c r="E642" s="1">
        <v>9162.01</v>
      </c>
      <c r="F642" s="1">
        <v>8099.58</v>
      </c>
      <c r="G642" s="1">
        <v>3296.6</v>
      </c>
    </row>
    <row r="643" spans="1:7" hidden="1" x14ac:dyDescent="0.2">
      <c r="A643">
        <v>224340</v>
      </c>
      <c r="B643" t="s">
        <v>1292</v>
      </c>
      <c r="C643">
        <v>4</v>
      </c>
      <c r="D643" s="1">
        <v>0</v>
      </c>
      <c r="E643" s="1">
        <v>36.68</v>
      </c>
      <c r="F643" s="1">
        <v>36.68</v>
      </c>
      <c r="G643" s="1">
        <v>0</v>
      </c>
    </row>
    <row r="644" spans="1:7" hidden="1" x14ac:dyDescent="0.2">
      <c r="A644">
        <v>224561</v>
      </c>
      <c r="B644" t="s">
        <v>1092</v>
      </c>
      <c r="C644">
        <v>4</v>
      </c>
      <c r="D644" s="1">
        <v>0</v>
      </c>
      <c r="E644" s="1">
        <v>142360.19</v>
      </c>
      <c r="F644" s="1">
        <v>142360.19</v>
      </c>
      <c r="G644" s="1">
        <v>0</v>
      </c>
    </row>
    <row r="645" spans="1:7" hidden="1" x14ac:dyDescent="0.2">
      <c r="A645">
        <v>224606</v>
      </c>
      <c r="B645" t="s">
        <v>347</v>
      </c>
      <c r="C645">
        <v>4</v>
      </c>
      <c r="D645" s="1">
        <v>22.58</v>
      </c>
      <c r="E645" s="1">
        <v>0</v>
      </c>
      <c r="F645" s="1">
        <v>0</v>
      </c>
      <c r="G645" s="1">
        <v>22.58</v>
      </c>
    </row>
    <row r="646" spans="1:7" hidden="1" x14ac:dyDescent="0.2">
      <c r="A646">
        <v>224681</v>
      </c>
      <c r="B646" t="s">
        <v>331</v>
      </c>
      <c r="C646">
        <v>4</v>
      </c>
      <c r="D646" s="1">
        <v>1018.34</v>
      </c>
      <c r="E646" s="1">
        <v>1001.7</v>
      </c>
      <c r="F646" s="1">
        <v>0</v>
      </c>
      <c r="G646" s="1">
        <v>16.64</v>
      </c>
    </row>
    <row r="647" spans="1:7" hidden="1" x14ac:dyDescent="0.2">
      <c r="A647">
        <v>224751</v>
      </c>
      <c r="B647" t="s">
        <v>1093</v>
      </c>
      <c r="C647">
        <v>4</v>
      </c>
      <c r="D647" s="1">
        <v>3999.19</v>
      </c>
      <c r="E647" s="1">
        <v>3999.19</v>
      </c>
      <c r="F647" s="1">
        <v>29</v>
      </c>
      <c r="G647" s="1">
        <v>29</v>
      </c>
    </row>
    <row r="648" spans="1:7" hidden="1" x14ac:dyDescent="0.2">
      <c r="A648">
        <v>224859</v>
      </c>
      <c r="B648" t="s">
        <v>1293</v>
      </c>
      <c r="C648">
        <v>4</v>
      </c>
      <c r="D648" s="1">
        <v>0</v>
      </c>
      <c r="E648" s="1">
        <v>0</v>
      </c>
      <c r="F648" s="1">
        <v>1160</v>
      </c>
      <c r="G648" s="1">
        <v>1160</v>
      </c>
    </row>
    <row r="649" spans="1:7" hidden="1" x14ac:dyDescent="0.2">
      <c r="A649">
        <v>225102</v>
      </c>
      <c r="B649" t="s">
        <v>348</v>
      </c>
      <c r="C649">
        <v>4</v>
      </c>
      <c r="D649" s="1">
        <v>0.61</v>
      </c>
      <c r="E649" s="1">
        <v>0</v>
      </c>
      <c r="F649" s="1">
        <v>0</v>
      </c>
      <c r="G649" s="1">
        <v>0.61</v>
      </c>
    </row>
    <row r="650" spans="1:7" hidden="1" x14ac:dyDescent="0.2">
      <c r="A650">
        <v>225170</v>
      </c>
      <c r="B650" t="s">
        <v>1294</v>
      </c>
      <c r="C650">
        <v>4</v>
      </c>
      <c r="D650" s="1">
        <v>0</v>
      </c>
      <c r="E650" s="1">
        <v>0</v>
      </c>
      <c r="F650" s="1">
        <v>956.74</v>
      </c>
      <c r="G650" s="1">
        <v>956.74</v>
      </c>
    </row>
    <row r="651" spans="1:7" hidden="1" x14ac:dyDescent="0.2">
      <c r="A651">
        <v>225267</v>
      </c>
      <c r="B651" t="s">
        <v>1164</v>
      </c>
      <c r="C651">
        <v>4</v>
      </c>
      <c r="D651" s="1">
        <v>584.26</v>
      </c>
      <c r="E651" s="1">
        <v>584.26</v>
      </c>
      <c r="F651" s="1">
        <v>0</v>
      </c>
      <c r="G651" s="1">
        <v>0</v>
      </c>
    </row>
    <row r="652" spans="1:7" hidden="1" x14ac:dyDescent="0.2">
      <c r="A652">
        <v>225592</v>
      </c>
      <c r="B652" t="s">
        <v>349</v>
      </c>
      <c r="C652">
        <v>4</v>
      </c>
      <c r="D652" s="1">
        <v>3841.43</v>
      </c>
      <c r="E652" s="1">
        <v>3841.42</v>
      </c>
      <c r="F652" s="1">
        <v>1920.71</v>
      </c>
      <c r="G652" s="1">
        <v>1920.72</v>
      </c>
    </row>
    <row r="653" spans="1:7" hidden="1" x14ac:dyDescent="0.2">
      <c r="A653">
        <v>225801</v>
      </c>
      <c r="B653" t="s">
        <v>1029</v>
      </c>
      <c r="C653">
        <v>4</v>
      </c>
      <c r="D653" s="1">
        <v>62.7</v>
      </c>
      <c r="E653" s="1">
        <v>62.7</v>
      </c>
      <c r="F653" s="1">
        <v>0</v>
      </c>
      <c r="G653" s="1">
        <v>0</v>
      </c>
    </row>
    <row r="654" spans="1:7" hidden="1" x14ac:dyDescent="0.2">
      <c r="A654">
        <v>226016</v>
      </c>
      <c r="B654" t="s">
        <v>350</v>
      </c>
      <c r="C654">
        <v>4</v>
      </c>
      <c r="D654" s="1">
        <v>-20.260000000000002</v>
      </c>
      <c r="E654" s="1">
        <v>0</v>
      </c>
      <c r="F654" s="1">
        <v>0</v>
      </c>
      <c r="G654" s="1">
        <v>-20.260000000000002</v>
      </c>
    </row>
    <row r="655" spans="1:7" hidden="1" x14ac:dyDescent="0.2">
      <c r="A655">
        <v>226053</v>
      </c>
      <c r="B655" t="s">
        <v>351</v>
      </c>
      <c r="C655">
        <v>4</v>
      </c>
      <c r="D655" s="1">
        <v>3063.03</v>
      </c>
      <c r="E655" s="1">
        <v>1201.27</v>
      </c>
      <c r="F655" s="1">
        <v>2291.65</v>
      </c>
      <c r="G655" s="1">
        <v>4153.41</v>
      </c>
    </row>
    <row r="656" spans="1:7" hidden="1" x14ac:dyDescent="0.2">
      <c r="A656">
        <v>226057</v>
      </c>
      <c r="B656" t="s">
        <v>1295</v>
      </c>
      <c r="C656">
        <v>4</v>
      </c>
      <c r="D656" s="1">
        <v>0</v>
      </c>
      <c r="E656" s="1">
        <v>3471.96</v>
      </c>
      <c r="F656" s="1">
        <v>3471.96</v>
      </c>
      <c r="G656" s="1">
        <v>0</v>
      </c>
    </row>
    <row r="657" spans="1:7" hidden="1" x14ac:dyDescent="0.2">
      <c r="A657">
        <v>226156</v>
      </c>
      <c r="B657" t="s">
        <v>352</v>
      </c>
      <c r="C657">
        <v>4</v>
      </c>
      <c r="D657" s="1">
        <v>3112.27</v>
      </c>
      <c r="E657" s="1">
        <v>3112.27</v>
      </c>
      <c r="F657" s="1">
        <v>3112.27</v>
      </c>
      <c r="G657" s="1">
        <v>3112.27</v>
      </c>
    </row>
    <row r="658" spans="1:7" hidden="1" x14ac:dyDescent="0.2">
      <c r="A658">
        <v>226204</v>
      </c>
      <c r="B658" t="s">
        <v>1165</v>
      </c>
      <c r="C658">
        <v>4</v>
      </c>
      <c r="D658" s="1">
        <v>420</v>
      </c>
      <c r="E658" s="1">
        <v>420</v>
      </c>
      <c r="F658" s="1">
        <v>0</v>
      </c>
      <c r="G658" s="1">
        <v>0</v>
      </c>
    </row>
    <row r="659" spans="1:7" hidden="1" x14ac:dyDescent="0.2">
      <c r="A659">
        <v>226295</v>
      </c>
      <c r="B659" t="s">
        <v>1094</v>
      </c>
      <c r="C659">
        <v>4</v>
      </c>
      <c r="D659" s="1">
        <v>1383</v>
      </c>
      <c r="E659" s="1">
        <v>1383</v>
      </c>
      <c r="F659" s="1">
        <v>0</v>
      </c>
      <c r="G659" s="1">
        <v>0</v>
      </c>
    </row>
    <row r="660" spans="1:7" hidden="1" x14ac:dyDescent="0.2">
      <c r="A660">
        <v>226318</v>
      </c>
      <c r="B660" t="s">
        <v>1296</v>
      </c>
      <c r="C660">
        <v>4</v>
      </c>
      <c r="D660" s="1">
        <v>0</v>
      </c>
      <c r="E660" s="1">
        <v>0</v>
      </c>
      <c r="F660" s="1">
        <v>53.98</v>
      </c>
      <c r="G660" s="1">
        <v>53.98</v>
      </c>
    </row>
    <row r="661" spans="1:7" hidden="1" x14ac:dyDescent="0.2">
      <c r="A661">
        <v>226540</v>
      </c>
      <c r="B661" t="s">
        <v>891</v>
      </c>
      <c r="C661">
        <v>4</v>
      </c>
      <c r="D661" s="1">
        <v>0</v>
      </c>
      <c r="E661" s="1">
        <v>1100</v>
      </c>
      <c r="F661" s="1">
        <v>1100</v>
      </c>
      <c r="G661" s="1">
        <v>0</v>
      </c>
    </row>
    <row r="662" spans="1:7" hidden="1" x14ac:dyDescent="0.2">
      <c r="A662">
        <v>226553</v>
      </c>
      <c r="B662" t="s">
        <v>1095</v>
      </c>
      <c r="C662">
        <v>4</v>
      </c>
      <c r="D662" s="1">
        <v>0</v>
      </c>
      <c r="E662" s="1">
        <v>0</v>
      </c>
      <c r="F662" s="1">
        <v>8339</v>
      </c>
      <c r="G662" s="1">
        <v>8339</v>
      </c>
    </row>
    <row r="663" spans="1:7" hidden="1" x14ac:dyDescent="0.2">
      <c r="A663">
        <v>226556</v>
      </c>
      <c r="B663" t="s">
        <v>1096</v>
      </c>
      <c r="C663">
        <v>4</v>
      </c>
      <c r="D663" s="1">
        <v>1238.0999999999999</v>
      </c>
      <c r="E663" s="1">
        <v>1238.0999999999999</v>
      </c>
      <c r="F663" s="1">
        <v>2142.6</v>
      </c>
      <c r="G663" s="1">
        <v>2142.6</v>
      </c>
    </row>
    <row r="664" spans="1:7" hidden="1" x14ac:dyDescent="0.2">
      <c r="A664">
        <v>226561</v>
      </c>
      <c r="B664" t="s">
        <v>1297</v>
      </c>
      <c r="C664">
        <v>4</v>
      </c>
      <c r="D664" s="1">
        <v>0</v>
      </c>
      <c r="E664" s="1">
        <v>0</v>
      </c>
      <c r="F664" s="1">
        <v>1089</v>
      </c>
      <c r="G664" s="1">
        <v>1089</v>
      </c>
    </row>
    <row r="665" spans="1:7" hidden="1" x14ac:dyDescent="0.2">
      <c r="A665">
        <v>226573</v>
      </c>
      <c r="B665" t="s">
        <v>1097</v>
      </c>
      <c r="C665">
        <v>4</v>
      </c>
      <c r="D665" s="1">
        <v>2442</v>
      </c>
      <c r="E665" s="1">
        <v>2442</v>
      </c>
      <c r="F665" s="1">
        <v>0</v>
      </c>
      <c r="G665" s="1">
        <v>0</v>
      </c>
    </row>
    <row r="666" spans="1:7" hidden="1" x14ac:dyDescent="0.2">
      <c r="A666">
        <v>226678</v>
      </c>
      <c r="B666" t="s">
        <v>941</v>
      </c>
      <c r="C666">
        <v>4</v>
      </c>
      <c r="D666" s="1">
        <v>184.39</v>
      </c>
      <c r="E666" s="1">
        <v>184.39</v>
      </c>
      <c r="F666" s="1">
        <v>184.39</v>
      </c>
      <c r="G666" s="1">
        <v>184.39</v>
      </c>
    </row>
    <row r="667" spans="1:7" hidden="1" x14ac:dyDescent="0.2">
      <c r="A667">
        <v>226757</v>
      </c>
      <c r="B667" t="s">
        <v>353</v>
      </c>
      <c r="C667">
        <v>4</v>
      </c>
      <c r="D667" s="1">
        <v>18400</v>
      </c>
      <c r="E667" s="1">
        <v>14325</v>
      </c>
      <c r="F667" s="1">
        <v>30306</v>
      </c>
      <c r="G667" s="1">
        <v>34381</v>
      </c>
    </row>
    <row r="668" spans="1:7" hidden="1" x14ac:dyDescent="0.2">
      <c r="A668">
        <v>226850</v>
      </c>
      <c r="B668" t="s">
        <v>855</v>
      </c>
      <c r="C668">
        <v>4</v>
      </c>
      <c r="D668" s="1">
        <v>795</v>
      </c>
      <c r="E668" s="1">
        <v>0</v>
      </c>
      <c r="F668" s="1">
        <v>0</v>
      </c>
      <c r="G668" s="1">
        <v>795</v>
      </c>
    </row>
    <row r="669" spans="1:7" hidden="1" x14ac:dyDescent="0.2">
      <c r="A669">
        <v>226928</v>
      </c>
      <c r="B669" t="s">
        <v>1098</v>
      </c>
      <c r="C669">
        <v>4</v>
      </c>
      <c r="D669" s="1">
        <v>7107.41</v>
      </c>
      <c r="E669" s="1">
        <v>6853.66</v>
      </c>
      <c r="F669" s="1">
        <v>2877.5</v>
      </c>
      <c r="G669" s="1">
        <v>3131.25</v>
      </c>
    </row>
    <row r="670" spans="1:7" hidden="1" x14ac:dyDescent="0.2">
      <c r="A670">
        <v>227040</v>
      </c>
      <c r="B670" t="s">
        <v>1298</v>
      </c>
      <c r="C670">
        <v>4</v>
      </c>
      <c r="D670" s="1">
        <v>0</v>
      </c>
      <c r="E670" s="1">
        <v>340</v>
      </c>
      <c r="F670" s="1">
        <v>340</v>
      </c>
      <c r="G670" s="1">
        <v>0</v>
      </c>
    </row>
    <row r="671" spans="1:7" hidden="1" x14ac:dyDescent="0.2">
      <c r="A671">
        <v>227104</v>
      </c>
      <c r="B671" t="s">
        <v>1030</v>
      </c>
      <c r="C671">
        <v>4</v>
      </c>
      <c r="D671" s="1">
        <v>2772</v>
      </c>
      <c r="E671" s="1">
        <v>3682.8</v>
      </c>
      <c r="F671" s="1">
        <v>5648.4</v>
      </c>
      <c r="G671" s="1">
        <v>4737.6000000000004</v>
      </c>
    </row>
    <row r="672" spans="1:7" hidden="1" x14ac:dyDescent="0.2">
      <c r="A672">
        <v>227185</v>
      </c>
      <c r="B672" t="s">
        <v>1031</v>
      </c>
      <c r="C672">
        <v>4</v>
      </c>
      <c r="D672" s="1">
        <v>1486.96</v>
      </c>
      <c r="E672" s="1">
        <v>1275.3900000000001</v>
      </c>
      <c r="F672" s="1">
        <v>779.74</v>
      </c>
      <c r="G672" s="1">
        <v>991.31</v>
      </c>
    </row>
    <row r="673" spans="1:7" hidden="1" x14ac:dyDescent="0.2">
      <c r="A673">
        <v>227281</v>
      </c>
      <c r="B673" t="s">
        <v>1166</v>
      </c>
      <c r="C673">
        <v>4</v>
      </c>
      <c r="D673" s="1">
        <v>1530</v>
      </c>
      <c r="E673" s="1">
        <v>1530</v>
      </c>
      <c r="F673" s="1">
        <v>0</v>
      </c>
      <c r="G673" s="1">
        <v>0</v>
      </c>
    </row>
    <row r="674" spans="1:7" hidden="1" x14ac:dyDescent="0.2">
      <c r="A674">
        <v>227325</v>
      </c>
      <c r="B674" t="s">
        <v>1167</v>
      </c>
      <c r="C674">
        <v>4</v>
      </c>
      <c r="D674" s="1">
        <v>0</v>
      </c>
      <c r="E674" s="1">
        <v>406.64</v>
      </c>
      <c r="F674" s="1">
        <v>406.64</v>
      </c>
      <c r="G674" s="1">
        <v>0</v>
      </c>
    </row>
    <row r="675" spans="1:7" hidden="1" x14ac:dyDescent="0.2">
      <c r="A675">
        <v>227362</v>
      </c>
      <c r="B675" t="s">
        <v>1299</v>
      </c>
      <c r="C675">
        <v>4</v>
      </c>
      <c r="D675" s="1">
        <v>0</v>
      </c>
      <c r="E675" s="1">
        <v>103.2</v>
      </c>
      <c r="F675" s="1">
        <v>103.2</v>
      </c>
      <c r="G675" s="1">
        <v>0</v>
      </c>
    </row>
    <row r="676" spans="1:7" hidden="1" x14ac:dyDescent="0.2">
      <c r="A676">
        <v>227431</v>
      </c>
      <c r="B676" t="s">
        <v>354</v>
      </c>
      <c r="C676">
        <v>4</v>
      </c>
      <c r="D676" s="1">
        <v>1652.05</v>
      </c>
      <c r="E676" s="1">
        <v>1652.05</v>
      </c>
      <c r="F676" s="1">
        <v>587.70000000000005</v>
      </c>
      <c r="G676" s="1">
        <v>587.70000000000005</v>
      </c>
    </row>
    <row r="677" spans="1:7" hidden="1" x14ac:dyDescent="0.2">
      <c r="A677">
        <v>227594</v>
      </c>
      <c r="B677" t="s">
        <v>748</v>
      </c>
      <c r="C677">
        <v>4</v>
      </c>
      <c r="D677" s="1">
        <v>394.96</v>
      </c>
      <c r="E677" s="1">
        <v>0</v>
      </c>
      <c r="F677" s="1">
        <v>0</v>
      </c>
      <c r="G677" s="1">
        <v>394.96</v>
      </c>
    </row>
    <row r="678" spans="1:7" hidden="1" x14ac:dyDescent="0.2">
      <c r="A678">
        <v>227599</v>
      </c>
      <c r="B678" t="s">
        <v>1168</v>
      </c>
      <c r="C678">
        <v>4</v>
      </c>
      <c r="D678" s="1">
        <v>1785.02</v>
      </c>
      <c r="E678" s="1">
        <v>3570.04</v>
      </c>
      <c r="F678" s="1">
        <v>1785.02</v>
      </c>
      <c r="G678" s="1">
        <v>0</v>
      </c>
    </row>
    <row r="679" spans="1:7" hidden="1" x14ac:dyDescent="0.2">
      <c r="A679">
        <v>227767</v>
      </c>
      <c r="B679" t="s">
        <v>1169</v>
      </c>
      <c r="C679">
        <v>4</v>
      </c>
      <c r="D679" s="1">
        <v>19701</v>
      </c>
      <c r="E679" s="1">
        <v>14300.5</v>
      </c>
      <c r="F679" s="1">
        <v>250</v>
      </c>
      <c r="G679" s="1">
        <v>5650.5</v>
      </c>
    </row>
    <row r="680" spans="1:7" hidden="1" x14ac:dyDescent="0.2">
      <c r="A680">
        <v>227858</v>
      </c>
      <c r="B680" t="s">
        <v>355</v>
      </c>
      <c r="C680">
        <v>4</v>
      </c>
      <c r="D680" s="1">
        <v>16012.5</v>
      </c>
      <c r="E680" s="1">
        <v>0</v>
      </c>
      <c r="F680" s="1">
        <v>0</v>
      </c>
      <c r="G680" s="1">
        <v>16012.5</v>
      </c>
    </row>
    <row r="681" spans="1:7" hidden="1" x14ac:dyDescent="0.2">
      <c r="A681">
        <v>252000</v>
      </c>
      <c r="B681" t="s">
        <v>356</v>
      </c>
      <c r="C681">
        <v>3</v>
      </c>
      <c r="D681" s="1">
        <v>4689.1000000000004</v>
      </c>
      <c r="E681" s="1">
        <v>7921.24</v>
      </c>
      <c r="F681" s="1">
        <v>3266.32</v>
      </c>
      <c r="G681" s="1">
        <v>34.18</v>
      </c>
    </row>
    <row r="682" spans="1:7" hidden="1" x14ac:dyDescent="0.2">
      <c r="A682">
        <v>252014</v>
      </c>
      <c r="B682" t="s">
        <v>357</v>
      </c>
      <c r="C682">
        <v>4</v>
      </c>
      <c r="D682" s="1">
        <v>3280.75</v>
      </c>
      <c r="E682" s="1">
        <v>6083.97</v>
      </c>
      <c r="F682" s="1">
        <v>2803.22</v>
      </c>
      <c r="G682" s="1">
        <v>0</v>
      </c>
    </row>
    <row r="683" spans="1:7" hidden="1" x14ac:dyDescent="0.2">
      <c r="A683">
        <v>252020</v>
      </c>
      <c r="B683" t="s">
        <v>1032</v>
      </c>
      <c r="C683">
        <v>4</v>
      </c>
      <c r="D683" s="1">
        <v>1408.35</v>
      </c>
      <c r="E683" s="1">
        <v>1408.35</v>
      </c>
      <c r="F683" s="1">
        <v>0</v>
      </c>
      <c r="G683" s="1">
        <v>0</v>
      </c>
    </row>
    <row r="684" spans="1:7" hidden="1" x14ac:dyDescent="0.2">
      <c r="A684">
        <v>252026</v>
      </c>
      <c r="B684" t="s">
        <v>1170</v>
      </c>
      <c r="C684">
        <v>4</v>
      </c>
      <c r="D684" s="1">
        <v>0</v>
      </c>
      <c r="E684" s="1">
        <v>428.92</v>
      </c>
      <c r="F684" s="1">
        <v>463.1</v>
      </c>
      <c r="G684" s="1">
        <v>34.18</v>
      </c>
    </row>
    <row r="685" spans="1:7" hidden="1" x14ac:dyDescent="0.2">
      <c r="A685">
        <v>254000</v>
      </c>
      <c r="B685" t="s">
        <v>358</v>
      </c>
      <c r="C685">
        <v>3</v>
      </c>
      <c r="D685" s="1">
        <v>929420.65</v>
      </c>
      <c r="E685" s="1">
        <v>2309220.9</v>
      </c>
      <c r="F685" s="1">
        <v>2419114.96</v>
      </c>
      <c r="G685" s="1">
        <v>1039314.71</v>
      </c>
    </row>
    <row r="686" spans="1:7" hidden="1" x14ac:dyDescent="0.2">
      <c r="A686">
        <v>254001</v>
      </c>
      <c r="B686" t="s">
        <v>359</v>
      </c>
      <c r="C686">
        <v>4</v>
      </c>
      <c r="D686" s="1">
        <v>801830.01</v>
      </c>
      <c r="E686" s="1">
        <v>2245576.86</v>
      </c>
      <c r="F686" s="1">
        <v>2378258.0499999998</v>
      </c>
      <c r="G686" s="1">
        <v>934511.2</v>
      </c>
    </row>
    <row r="687" spans="1:7" hidden="1" x14ac:dyDescent="0.2">
      <c r="A687">
        <v>254005</v>
      </c>
      <c r="B687" t="s">
        <v>360</v>
      </c>
      <c r="C687">
        <v>5</v>
      </c>
      <c r="D687" s="1">
        <v>-112828.06</v>
      </c>
      <c r="E687" s="1">
        <v>13888.47</v>
      </c>
      <c r="F687" s="1">
        <v>101146.85</v>
      </c>
      <c r="G687" s="1">
        <v>-25569.68</v>
      </c>
    </row>
    <row r="688" spans="1:7" hidden="1" x14ac:dyDescent="0.2">
      <c r="A688">
        <v>254010</v>
      </c>
      <c r="B688" t="s">
        <v>361</v>
      </c>
      <c r="C688">
        <v>5</v>
      </c>
      <c r="D688" s="1">
        <v>-23476.58</v>
      </c>
      <c r="E688" s="1">
        <v>3015.26</v>
      </c>
      <c r="F688" s="1">
        <v>12502.45</v>
      </c>
      <c r="G688" s="1">
        <v>-13989.39</v>
      </c>
    </row>
    <row r="689" spans="1:7" hidden="1" x14ac:dyDescent="0.2">
      <c r="A689">
        <v>254015</v>
      </c>
      <c r="B689" t="s">
        <v>362</v>
      </c>
      <c r="C689">
        <v>5</v>
      </c>
      <c r="D689" s="1">
        <v>7829.59</v>
      </c>
      <c r="E689" s="1">
        <v>9249.7000000000007</v>
      </c>
      <c r="F689" s="1">
        <v>10590.6</v>
      </c>
      <c r="G689" s="1">
        <v>9170.49</v>
      </c>
    </row>
    <row r="690" spans="1:7" hidden="1" x14ac:dyDescent="0.2">
      <c r="A690">
        <v>254020</v>
      </c>
      <c r="B690" t="s">
        <v>363</v>
      </c>
      <c r="C690">
        <v>5</v>
      </c>
      <c r="D690" s="1">
        <v>-917.7</v>
      </c>
      <c r="E690" s="1">
        <v>1864.43</v>
      </c>
      <c r="F690" s="1">
        <v>1864.43</v>
      </c>
      <c r="G690" s="1">
        <v>-917.7</v>
      </c>
    </row>
    <row r="691" spans="1:7" hidden="1" x14ac:dyDescent="0.2">
      <c r="A691">
        <v>254030</v>
      </c>
      <c r="B691" t="s">
        <v>1099</v>
      </c>
      <c r="C691">
        <v>5</v>
      </c>
      <c r="D691" s="1">
        <v>0</v>
      </c>
      <c r="E691" s="1">
        <v>559.30999999999995</v>
      </c>
      <c r="F691" s="1">
        <v>559.30999999999995</v>
      </c>
      <c r="G691" s="1">
        <v>0</v>
      </c>
    </row>
    <row r="692" spans="1:7" hidden="1" x14ac:dyDescent="0.2">
      <c r="A692">
        <v>254050</v>
      </c>
      <c r="B692" t="s">
        <v>364</v>
      </c>
      <c r="C692">
        <v>5</v>
      </c>
      <c r="D692" s="1">
        <v>12294.74</v>
      </c>
      <c r="E692" s="1">
        <v>13125.25</v>
      </c>
      <c r="F692" s="1">
        <v>22600.38</v>
      </c>
      <c r="G692" s="1">
        <v>21769.87</v>
      </c>
    </row>
    <row r="693" spans="1:7" hidden="1" x14ac:dyDescent="0.2">
      <c r="A693">
        <v>254070</v>
      </c>
      <c r="B693" t="s">
        <v>365</v>
      </c>
      <c r="C693">
        <v>5</v>
      </c>
      <c r="D693" s="1">
        <v>470963.37</v>
      </c>
      <c r="E693" s="1">
        <v>861747.31</v>
      </c>
      <c r="F693" s="1">
        <v>893755.74</v>
      </c>
      <c r="G693" s="1">
        <v>502971.8</v>
      </c>
    </row>
    <row r="694" spans="1:7" hidden="1" x14ac:dyDescent="0.2">
      <c r="A694">
        <v>254075</v>
      </c>
      <c r="B694" t="s">
        <v>366</v>
      </c>
      <c r="C694">
        <v>5</v>
      </c>
      <c r="D694" s="1">
        <v>141491.48000000001</v>
      </c>
      <c r="E694" s="1">
        <v>140898.6</v>
      </c>
      <c r="F694" s="1">
        <v>308571.32</v>
      </c>
      <c r="G694" s="1">
        <v>309164.2</v>
      </c>
    </row>
    <row r="695" spans="1:7" hidden="1" x14ac:dyDescent="0.2">
      <c r="A695">
        <v>254077</v>
      </c>
      <c r="B695" t="s">
        <v>367</v>
      </c>
      <c r="C695">
        <v>5</v>
      </c>
      <c r="D695" s="1">
        <v>166761.44</v>
      </c>
      <c r="E695" s="1">
        <v>166761.44</v>
      </c>
      <c r="F695" s="1">
        <v>0</v>
      </c>
      <c r="G695" s="1">
        <v>0</v>
      </c>
    </row>
    <row r="696" spans="1:7" hidden="1" x14ac:dyDescent="0.2">
      <c r="A696">
        <v>254080</v>
      </c>
      <c r="B696" t="s">
        <v>368</v>
      </c>
      <c r="C696">
        <v>5</v>
      </c>
      <c r="D696" s="1">
        <v>139711.73000000001</v>
      </c>
      <c r="E696" s="1">
        <v>175004.52</v>
      </c>
      <c r="F696" s="1">
        <v>167204.4</v>
      </c>
      <c r="G696" s="1">
        <v>131911.60999999999</v>
      </c>
    </row>
    <row r="697" spans="1:7" hidden="1" x14ac:dyDescent="0.2">
      <c r="A697">
        <v>254090</v>
      </c>
      <c r="B697" t="s">
        <v>369</v>
      </c>
      <c r="C697">
        <v>5</v>
      </c>
      <c r="D697" s="1">
        <v>0</v>
      </c>
      <c r="E697" s="1">
        <v>859462.57</v>
      </c>
      <c r="F697" s="1">
        <v>859462.57</v>
      </c>
      <c r="G697" s="1">
        <v>0</v>
      </c>
    </row>
    <row r="698" spans="1:7" hidden="1" x14ac:dyDescent="0.2">
      <c r="A698">
        <v>255100</v>
      </c>
      <c r="B698" t="s">
        <v>370</v>
      </c>
      <c r="C698">
        <v>4</v>
      </c>
      <c r="D698" s="1">
        <v>123557.02</v>
      </c>
      <c r="E698" s="1">
        <v>59610.42</v>
      </c>
      <c r="F698" s="1">
        <v>38392.519999999997</v>
      </c>
      <c r="G698" s="1">
        <v>102339.12</v>
      </c>
    </row>
    <row r="699" spans="1:7" hidden="1" x14ac:dyDescent="0.2">
      <c r="A699">
        <v>255106</v>
      </c>
      <c r="B699" t="s">
        <v>731</v>
      </c>
      <c r="C699">
        <v>5</v>
      </c>
      <c r="D699" s="1">
        <v>88</v>
      </c>
      <c r="E699" s="1">
        <v>0</v>
      </c>
      <c r="F699" s="1">
        <v>0</v>
      </c>
      <c r="G699" s="1">
        <v>88</v>
      </c>
    </row>
    <row r="700" spans="1:7" hidden="1" x14ac:dyDescent="0.2">
      <c r="A700">
        <v>255107</v>
      </c>
      <c r="B700" t="s">
        <v>371</v>
      </c>
      <c r="C700">
        <v>5</v>
      </c>
      <c r="D700" s="1">
        <v>1859.48</v>
      </c>
      <c r="E700" s="1">
        <v>2494.81</v>
      </c>
      <c r="F700" s="1">
        <v>2580.48</v>
      </c>
      <c r="G700" s="1">
        <v>1945.15</v>
      </c>
    </row>
    <row r="701" spans="1:7" hidden="1" x14ac:dyDescent="0.2">
      <c r="A701">
        <v>255110</v>
      </c>
      <c r="B701" t="s">
        <v>732</v>
      </c>
      <c r="C701">
        <v>5</v>
      </c>
      <c r="D701" s="1">
        <v>160</v>
      </c>
      <c r="E701" s="1">
        <v>0</v>
      </c>
      <c r="F701" s="1">
        <v>0</v>
      </c>
      <c r="G701" s="1">
        <v>160</v>
      </c>
    </row>
    <row r="702" spans="1:7" hidden="1" x14ac:dyDescent="0.2">
      <c r="A702">
        <v>255120</v>
      </c>
      <c r="B702" t="s">
        <v>372</v>
      </c>
      <c r="C702">
        <v>5</v>
      </c>
      <c r="D702" s="1">
        <v>6.19</v>
      </c>
      <c r="E702" s="1">
        <v>0</v>
      </c>
      <c r="F702" s="1">
        <v>132.65</v>
      </c>
      <c r="G702" s="1">
        <v>138.84</v>
      </c>
    </row>
    <row r="703" spans="1:7" hidden="1" x14ac:dyDescent="0.2">
      <c r="A703">
        <v>255123</v>
      </c>
      <c r="B703" t="s">
        <v>1171</v>
      </c>
      <c r="C703">
        <v>5</v>
      </c>
      <c r="D703" s="1">
        <v>33425.769999999997</v>
      </c>
      <c r="E703" s="1">
        <v>57115.61</v>
      </c>
      <c r="F703" s="1">
        <v>23689.84</v>
      </c>
      <c r="G703" s="1">
        <v>0</v>
      </c>
    </row>
    <row r="704" spans="1:7" hidden="1" x14ac:dyDescent="0.2">
      <c r="A704">
        <v>255125</v>
      </c>
      <c r="B704" t="s">
        <v>373</v>
      </c>
      <c r="C704">
        <v>5</v>
      </c>
      <c r="D704" s="1">
        <v>19844.189999999999</v>
      </c>
      <c r="E704" s="1">
        <v>0</v>
      </c>
      <c r="F704" s="1">
        <v>2359.37</v>
      </c>
      <c r="G704" s="1">
        <v>22203.56</v>
      </c>
    </row>
    <row r="705" spans="1:7" hidden="1" x14ac:dyDescent="0.2">
      <c r="A705">
        <v>255135</v>
      </c>
      <c r="B705" t="s">
        <v>374</v>
      </c>
      <c r="C705">
        <v>5</v>
      </c>
      <c r="D705" s="1">
        <v>151.03</v>
      </c>
      <c r="E705" s="1">
        <v>0</v>
      </c>
      <c r="F705" s="1">
        <v>0</v>
      </c>
      <c r="G705" s="1">
        <v>151.03</v>
      </c>
    </row>
    <row r="706" spans="1:7" hidden="1" x14ac:dyDescent="0.2">
      <c r="A706">
        <v>255145</v>
      </c>
      <c r="B706" t="s">
        <v>375</v>
      </c>
      <c r="C706">
        <v>5</v>
      </c>
      <c r="D706" s="1">
        <v>610.44000000000005</v>
      </c>
      <c r="E706" s="1">
        <v>0</v>
      </c>
      <c r="F706" s="1">
        <v>0</v>
      </c>
      <c r="G706" s="1">
        <v>610.44000000000005</v>
      </c>
    </row>
    <row r="707" spans="1:7" hidden="1" x14ac:dyDescent="0.2">
      <c r="A707">
        <v>255160</v>
      </c>
      <c r="B707" t="s">
        <v>376</v>
      </c>
      <c r="C707">
        <v>5</v>
      </c>
      <c r="D707" s="1">
        <v>66254.97</v>
      </c>
      <c r="E707" s="1">
        <v>0</v>
      </c>
      <c r="F707" s="1">
        <v>7920.22</v>
      </c>
      <c r="G707" s="1">
        <v>74175.19</v>
      </c>
    </row>
    <row r="708" spans="1:7" hidden="1" x14ac:dyDescent="0.2">
      <c r="A708">
        <v>255162</v>
      </c>
      <c r="B708" t="s">
        <v>377</v>
      </c>
      <c r="C708">
        <v>5</v>
      </c>
      <c r="D708" s="1">
        <v>1122.5899999999999</v>
      </c>
      <c r="E708" s="1">
        <v>0</v>
      </c>
      <c r="F708" s="1">
        <v>1526.61</v>
      </c>
      <c r="G708" s="1">
        <v>2649.2</v>
      </c>
    </row>
    <row r="709" spans="1:7" hidden="1" x14ac:dyDescent="0.2">
      <c r="A709">
        <v>255164</v>
      </c>
      <c r="B709" t="s">
        <v>1172</v>
      </c>
      <c r="C709">
        <v>5</v>
      </c>
      <c r="D709" s="1">
        <v>34.36</v>
      </c>
      <c r="E709" s="1">
        <v>0</v>
      </c>
      <c r="F709" s="1">
        <v>183.35</v>
      </c>
      <c r="G709" s="1">
        <v>217.71</v>
      </c>
    </row>
    <row r="710" spans="1:7" hidden="1" x14ac:dyDescent="0.2">
      <c r="A710">
        <v>256500</v>
      </c>
      <c r="B710" t="s">
        <v>378</v>
      </c>
      <c r="C710">
        <v>4</v>
      </c>
      <c r="D710" s="1">
        <v>4033.62</v>
      </c>
      <c r="E710" s="1">
        <v>4033.62</v>
      </c>
      <c r="F710" s="1">
        <v>2464.39</v>
      </c>
      <c r="G710" s="1">
        <v>2464.39</v>
      </c>
    </row>
    <row r="711" spans="1:7" hidden="1" x14ac:dyDescent="0.2">
      <c r="A711">
        <v>256928</v>
      </c>
      <c r="B711" t="s">
        <v>1173</v>
      </c>
      <c r="C711">
        <v>5</v>
      </c>
      <c r="D711" s="1">
        <v>2616.56</v>
      </c>
      <c r="E711" s="1">
        <v>2616.56</v>
      </c>
      <c r="F711" s="1">
        <v>694.43</v>
      </c>
      <c r="G711" s="1">
        <v>694.43</v>
      </c>
    </row>
    <row r="712" spans="1:7" hidden="1" x14ac:dyDescent="0.2">
      <c r="A712">
        <v>257060</v>
      </c>
      <c r="B712" t="s">
        <v>1100</v>
      </c>
      <c r="C712">
        <v>5</v>
      </c>
      <c r="D712" s="1">
        <v>79.2</v>
      </c>
      <c r="E712" s="1">
        <v>79.2</v>
      </c>
      <c r="F712" s="1">
        <v>0</v>
      </c>
      <c r="G712" s="1">
        <v>0</v>
      </c>
    </row>
    <row r="713" spans="1:7" hidden="1" x14ac:dyDescent="0.2">
      <c r="A713">
        <v>257531</v>
      </c>
      <c r="B713" t="s">
        <v>1300</v>
      </c>
      <c r="C713">
        <v>5</v>
      </c>
      <c r="D713" s="1">
        <v>0</v>
      </c>
      <c r="E713" s="1">
        <v>0</v>
      </c>
      <c r="F713" s="1">
        <v>318.5</v>
      </c>
      <c r="G713" s="1">
        <v>318.5</v>
      </c>
    </row>
    <row r="714" spans="1:7" hidden="1" x14ac:dyDescent="0.2">
      <c r="A714">
        <v>257532</v>
      </c>
      <c r="B714" t="s">
        <v>892</v>
      </c>
      <c r="C714">
        <v>5</v>
      </c>
      <c r="D714" s="1">
        <v>728.28</v>
      </c>
      <c r="E714" s="1">
        <v>728.28</v>
      </c>
      <c r="F714" s="1">
        <v>1041.78</v>
      </c>
      <c r="G714" s="1">
        <v>1041.78</v>
      </c>
    </row>
    <row r="715" spans="1:7" hidden="1" x14ac:dyDescent="0.2">
      <c r="A715">
        <v>257541</v>
      </c>
      <c r="B715" t="s">
        <v>1101</v>
      </c>
      <c r="C715">
        <v>5</v>
      </c>
      <c r="D715" s="1">
        <v>451.44</v>
      </c>
      <c r="E715" s="1">
        <v>451.44</v>
      </c>
      <c r="F715" s="1">
        <v>150.47999999999999</v>
      </c>
      <c r="G715" s="1">
        <v>150.47999999999999</v>
      </c>
    </row>
    <row r="716" spans="1:7" hidden="1" x14ac:dyDescent="0.2">
      <c r="A716">
        <v>257542</v>
      </c>
      <c r="B716" t="s">
        <v>1102</v>
      </c>
      <c r="C716">
        <v>5</v>
      </c>
      <c r="D716" s="1">
        <v>0</v>
      </c>
      <c r="E716" s="1">
        <v>0</v>
      </c>
      <c r="F716" s="1">
        <v>40.56</v>
      </c>
      <c r="G716" s="1">
        <v>40.56</v>
      </c>
    </row>
    <row r="717" spans="1:7" hidden="1" x14ac:dyDescent="0.2">
      <c r="A717">
        <v>257543</v>
      </c>
      <c r="B717" t="s">
        <v>1103</v>
      </c>
      <c r="C717">
        <v>5</v>
      </c>
      <c r="D717" s="1">
        <v>22</v>
      </c>
      <c r="E717" s="1">
        <v>22</v>
      </c>
      <c r="F717" s="1">
        <v>33</v>
      </c>
      <c r="G717" s="1">
        <v>33</v>
      </c>
    </row>
    <row r="718" spans="1:7" hidden="1" x14ac:dyDescent="0.2">
      <c r="A718">
        <v>257544</v>
      </c>
      <c r="B718" t="s">
        <v>1174</v>
      </c>
      <c r="C718">
        <v>5</v>
      </c>
      <c r="D718" s="1">
        <v>136.13999999999999</v>
      </c>
      <c r="E718" s="1">
        <v>136.13999999999999</v>
      </c>
      <c r="F718" s="1">
        <v>185.64</v>
      </c>
      <c r="G718" s="1">
        <v>185.64</v>
      </c>
    </row>
    <row r="719" spans="1:7" hidden="1" x14ac:dyDescent="0.2">
      <c r="A719">
        <v>258100</v>
      </c>
      <c r="B719" t="s">
        <v>379</v>
      </c>
      <c r="C719">
        <v>3</v>
      </c>
      <c r="D719" s="1">
        <v>168173.7</v>
      </c>
      <c r="E719" s="1">
        <v>952881.2</v>
      </c>
      <c r="F719" s="1">
        <v>971448.17</v>
      </c>
      <c r="G719" s="1">
        <v>186740.67</v>
      </c>
    </row>
    <row r="720" spans="1:7" hidden="1" x14ac:dyDescent="0.2">
      <c r="A720">
        <v>258104</v>
      </c>
      <c r="B720" t="s">
        <v>380</v>
      </c>
      <c r="C720">
        <v>4</v>
      </c>
      <c r="D720" s="1">
        <v>-20411.349999999999</v>
      </c>
      <c r="E720" s="1">
        <v>897359.18</v>
      </c>
      <c r="F720" s="1">
        <v>896367.61</v>
      </c>
      <c r="G720" s="1">
        <v>-21402.92</v>
      </c>
    </row>
    <row r="721" spans="1:7" hidden="1" x14ac:dyDescent="0.2">
      <c r="A721">
        <v>258105</v>
      </c>
      <c r="B721" t="s">
        <v>381</v>
      </c>
      <c r="C721">
        <v>4</v>
      </c>
      <c r="D721" s="1">
        <v>46390.21</v>
      </c>
      <c r="E721" s="1">
        <v>0</v>
      </c>
      <c r="F721" s="1">
        <v>0</v>
      </c>
      <c r="G721" s="1">
        <v>46390.21</v>
      </c>
    </row>
    <row r="722" spans="1:7" hidden="1" x14ac:dyDescent="0.2">
      <c r="A722">
        <v>258108</v>
      </c>
      <c r="B722" t="s">
        <v>382</v>
      </c>
      <c r="C722">
        <v>4</v>
      </c>
      <c r="D722" s="1">
        <v>114.24</v>
      </c>
      <c r="E722" s="1">
        <v>0</v>
      </c>
      <c r="F722" s="1">
        <v>57.12</v>
      </c>
      <c r="G722" s="1">
        <v>171.36</v>
      </c>
    </row>
    <row r="723" spans="1:7" hidden="1" x14ac:dyDescent="0.2">
      <c r="A723">
        <v>258110</v>
      </c>
      <c r="B723" t="s">
        <v>383</v>
      </c>
      <c r="C723">
        <v>4</v>
      </c>
      <c r="D723" s="1">
        <v>9110.9599999999991</v>
      </c>
      <c r="E723" s="1">
        <v>57.12</v>
      </c>
      <c r="F723" s="1">
        <v>17842.66</v>
      </c>
      <c r="G723" s="1">
        <v>26896.5</v>
      </c>
    </row>
    <row r="724" spans="1:7" hidden="1" x14ac:dyDescent="0.2">
      <c r="A724">
        <v>258114</v>
      </c>
      <c r="B724" t="s">
        <v>384</v>
      </c>
      <c r="C724">
        <v>4</v>
      </c>
      <c r="D724" s="1">
        <v>40241.19</v>
      </c>
      <c r="E724" s="1">
        <v>0</v>
      </c>
      <c r="F724" s="1">
        <v>4584.95</v>
      </c>
      <c r="G724" s="1">
        <v>44826.14</v>
      </c>
    </row>
    <row r="725" spans="1:7" hidden="1" x14ac:dyDescent="0.2">
      <c r="A725">
        <v>258118</v>
      </c>
      <c r="B725" t="s">
        <v>385</v>
      </c>
      <c r="C725">
        <v>4</v>
      </c>
      <c r="D725" s="1">
        <v>41165.64</v>
      </c>
      <c r="E725" s="1">
        <v>0</v>
      </c>
      <c r="F725" s="1">
        <v>4571.04</v>
      </c>
      <c r="G725" s="1">
        <v>45736.68</v>
      </c>
    </row>
    <row r="726" spans="1:7" hidden="1" x14ac:dyDescent="0.2">
      <c r="A726">
        <v>258120</v>
      </c>
      <c r="B726" t="s">
        <v>981</v>
      </c>
      <c r="C726">
        <v>4</v>
      </c>
      <c r="D726" s="1">
        <v>-178.75</v>
      </c>
      <c r="E726" s="1">
        <v>28036.37</v>
      </c>
      <c r="F726" s="1">
        <v>28036.37</v>
      </c>
      <c r="G726" s="1">
        <v>-178.75</v>
      </c>
    </row>
    <row r="727" spans="1:7" hidden="1" x14ac:dyDescent="0.2">
      <c r="A727">
        <v>258124</v>
      </c>
      <c r="B727" t="s">
        <v>386</v>
      </c>
      <c r="C727">
        <v>4</v>
      </c>
      <c r="D727" s="1">
        <v>-394.8</v>
      </c>
      <c r="E727" s="1">
        <v>4673.2299999999996</v>
      </c>
      <c r="F727" s="1">
        <v>4673.2299999999996</v>
      </c>
      <c r="G727" s="1">
        <v>-394.8</v>
      </c>
    </row>
    <row r="728" spans="1:7" hidden="1" x14ac:dyDescent="0.2">
      <c r="A728">
        <v>258126</v>
      </c>
      <c r="B728" t="s">
        <v>387</v>
      </c>
      <c r="C728">
        <v>4</v>
      </c>
      <c r="D728" s="1">
        <v>41585.11</v>
      </c>
      <c r="E728" s="1">
        <v>21707.1</v>
      </c>
      <c r="F728" s="1">
        <v>13103.55</v>
      </c>
      <c r="G728" s="1">
        <v>32981.56</v>
      </c>
    </row>
    <row r="729" spans="1:7" hidden="1" x14ac:dyDescent="0.2">
      <c r="A729">
        <v>258130</v>
      </c>
      <c r="B729" t="s">
        <v>388</v>
      </c>
      <c r="C729">
        <v>4</v>
      </c>
      <c r="D729" s="1">
        <v>1770.3</v>
      </c>
      <c r="E729" s="1">
        <v>0</v>
      </c>
      <c r="F729" s="1">
        <v>682.79</v>
      </c>
      <c r="G729" s="1">
        <v>2453.09</v>
      </c>
    </row>
    <row r="730" spans="1:7" hidden="1" x14ac:dyDescent="0.2">
      <c r="A730">
        <v>258132</v>
      </c>
      <c r="B730" t="s">
        <v>389</v>
      </c>
      <c r="C730">
        <v>4</v>
      </c>
      <c r="D730" s="1">
        <v>7494.49</v>
      </c>
      <c r="E730" s="1">
        <v>0</v>
      </c>
      <c r="F730" s="1">
        <v>550.65</v>
      </c>
      <c r="G730" s="1">
        <v>8045.14</v>
      </c>
    </row>
    <row r="731" spans="1:7" hidden="1" x14ac:dyDescent="0.2">
      <c r="A731">
        <v>258140</v>
      </c>
      <c r="B731" t="s">
        <v>749</v>
      </c>
      <c r="C731">
        <v>4</v>
      </c>
      <c r="D731" s="1">
        <v>1286.46</v>
      </c>
      <c r="E731" s="1">
        <v>1048.2</v>
      </c>
      <c r="F731" s="1">
        <v>978.2</v>
      </c>
      <c r="G731" s="1">
        <v>1216.46</v>
      </c>
    </row>
    <row r="732" spans="1:7" hidden="1" x14ac:dyDescent="0.2">
      <c r="A732">
        <v>258200</v>
      </c>
      <c r="B732" t="s">
        <v>390</v>
      </c>
      <c r="C732">
        <v>3</v>
      </c>
      <c r="D732" s="1">
        <v>17230726.34</v>
      </c>
      <c r="E732" s="1">
        <v>4545952.83</v>
      </c>
      <c r="F732" s="1">
        <v>4456074.75</v>
      </c>
      <c r="G732" s="1">
        <v>17140848.260000002</v>
      </c>
    </row>
    <row r="733" spans="1:7" hidden="1" x14ac:dyDescent="0.2">
      <c r="A733">
        <v>258220</v>
      </c>
      <c r="B733" t="s">
        <v>391</v>
      </c>
      <c r="C733">
        <v>4</v>
      </c>
      <c r="D733" s="1">
        <v>2011750.73</v>
      </c>
      <c r="E733" s="1">
        <v>1481456.07</v>
      </c>
      <c r="F733" s="1">
        <v>2463366.27</v>
      </c>
      <c r="G733" s="1">
        <v>2993660.93</v>
      </c>
    </row>
    <row r="734" spans="1:7" hidden="1" x14ac:dyDescent="0.2">
      <c r="A734">
        <v>258235</v>
      </c>
      <c r="B734" t="s">
        <v>392</v>
      </c>
      <c r="C734">
        <v>5</v>
      </c>
      <c r="D734" s="1">
        <v>1915.65</v>
      </c>
      <c r="E734" s="1">
        <v>0</v>
      </c>
      <c r="F734" s="1">
        <v>43683.46</v>
      </c>
      <c r="G734" s="1">
        <v>45599.11</v>
      </c>
    </row>
    <row r="735" spans="1:7" hidden="1" x14ac:dyDescent="0.2">
      <c r="A735">
        <v>258240</v>
      </c>
      <c r="B735" t="s">
        <v>393</v>
      </c>
      <c r="C735">
        <v>5</v>
      </c>
      <c r="D735" s="1">
        <v>687117.74</v>
      </c>
      <c r="E735" s="1">
        <v>977882.11</v>
      </c>
      <c r="F735" s="1">
        <v>884933.62</v>
      </c>
      <c r="G735" s="1">
        <v>594169.25</v>
      </c>
    </row>
    <row r="736" spans="1:7" hidden="1" x14ac:dyDescent="0.2">
      <c r="A736">
        <v>258245</v>
      </c>
      <c r="B736" t="s">
        <v>394</v>
      </c>
      <c r="C736">
        <v>5</v>
      </c>
      <c r="D736" s="1">
        <v>323772.33</v>
      </c>
      <c r="E736" s="1">
        <v>344641.16</v>
      </c>
      <c r="F736" s="1">
        <v>957102.46</v>
      </c>
      <c r="G736" s="1">
        <v>936233.63</v>
      </c>
    </row>
    <row r="737" spans="1:7" hidden="1" x14ac:dyDescent="0.2">
      <c r="A737">
        <v>258246</v>
      </c>
      <c r="B737" t="s">
        <v>395</v>
      </c>
      <c r="C737">
        <v>5</v>
      </c>
      <c r="D737" s="1">
        <v>21057.21</v>
      </c>
      <c r="E737" s="1">
        <v>6641.26</v>
      </c>
      <c r="F737" s="1">
        <v>6641.26</v>
      </c>
      <c r="G737" s="1">
        <v>21057.21</v>
      </c>
    </row>
    <row r="738" spans="1:7" hidden="1" x14ac:dyDescent="0.2">
      <c r="A738">
        <v>258247</v>
      </c>
      <c r="B738" t="s">
        <v>396</v>
      </c>
      <c r="C738">
        <v>5</v>
      </c>
      <c r="D738" s="1">
        <v>9021.4</v>
      </c>
      <c r="E738" s="1">
        <v>12513.33</v>
      </c>
      <c r="F738" s="1">
        <v>6074.46</v>
      </c>
      <c r="G738" s="1">
        <v>2582.5300000000002</v>
      </c>
    </row>
    <row r="739" spans="1:7" hidden="1" x14ac:dyDescent="0.2">
      <c r="A739">
        <v>258252</v>
      </c>
      <c r="B739" t="s">
        <v>397</v>
      </c>
      <c r="C739">
        <v>5</v>
      </c>
      <c r="D739" s="1">
        <v>650.16</v>
      </c>
      <c r="E739" s="1">
        <v>0</v>
      </c>
      <c r="F739" s="1">
        <v>0</v>
      </c>
      <c r="G739" s="1">
        <v>650.16</v>
      </c>
    </row>
    <row r="740" spans="1:7" hidden="1" x14ac:dyDescent="0.2">
      <c r="A740">
        <v>258255</v>
      </c>
      <c r="B740" t="s">
        <v>398</v>
      </c>
      <c r="C740">
        <v>5</v>
      </c>
      <c r="D740" s="1">
        <v>4474.8100000000004</v>
      </c>
      <c r="E740" s="1">
        <v>119375.65</v>
      </c>
      <c r="F740" s="1">
        <v>525295.51</v>
      </c>
      <c r="G740" s="1">
        <v>410394.67</v>
      </c>
    </row>
    <row r="741" spans="1:7" hidden="1" x14ac:dyDescent="0.2">
      <c r="A741">
        <v>258290</v>
      </c>
      <c r="B741" t="s">
        <v>399</v>
      </c>
      <c r="C741">
        <v>5</v>
      </c>
      <c r="D741" s="1">
        <v>963741.43</v>
      </c>
      <c r="E741" s="1">
        <v>20402.560000000001</v>
      </c>
      <c r="F741" s="1">
        <v>39635.5</v>
      </c>
      <c r="G741" s="1">
        <v>982974.37</v>
      </c>
    </row>
    <row r="742" spans="1:7" hidden="1" x14ac:dyDescent="0.2">
      <c r="A742">
        <v>258400</v>
      </c>
      <c r="B742" t="s">
        <v>400</v>
      </c>
      <c r="C742">
        <v>4</v>
      </c>
      <c r="D742" s="1">
        <v>4774.2</v>
      </c>
      <c r="E742" s="1">
        <v>0</v>
      </c>
      <c r="F742" s="1">
        <v>0</v>
      </c>
      <c r="G742" s="1">
        <v>4774.2</v>
      </c>
    </row>
    <row r="743" spans="1:7" hidden="1" x14ac:dyDescent="0.2">
      <c r="A743">
        <v>258405</v>
      </c>
      <c r="B743" t="s">
        <v>401</v>
      </c>
      <c r="C743">
        <v>5</v>
      </c>
      <c r="D743" s="1">
        <v>4774.2</v>
      </c>
      <c r="E743" s="1">
        <v>0</v>
      </c>
      <c r="F743" s="1">
        <v>0</v>
      </c>
      <c r="G743" s="1">
        <v>4774.2</v>
      </c>
    </row>
    <row r="744" spans="1:7" hidden="1" x14ac:dyDescent="0.2">
      <c r="A744">
        <v>258450</v>
      </c>
      <c r="B744" t="s">
        <v>402</v>
      </c>
      <c r="C744">
        <v>4</v>
      </c>
      <c r="D744" s="1">
        <v>319842.67</v>
      </c>
      <c r="E744" s="1">
        <v>161306.57999999999</v>
      </c>
      <c r="F744" s="1">
        <v>125726.96</v>
      </c>
      <c r="G744" s="1">
        <v>284263.05</v>
      </c>
    </row>
    <row r="745" spans="1:7" hidden="1" x14ac:dyDescent="0.2">
      <c r="A745">
        <v>258452</v>
      </c>
      <c r="B745" t="s">
        <v>105</v>
      </c>
      <c r="C745">
        <v>5</v>
      </c>
      <c r="D745" s="1">
        <v>1343.53</v>
      </c>
      <c r="E745" s="1">
        <v>2287.89</v>
      </c>
      <c r="F745" s="1">
        <v>2308.89</v>
      </c>
      <c r="G745" s="1">
        <v>1364.53</v>
      </c>
    </row>
    <row r="746" spans="1:7" hidden="1" x14ac:dyDescent="0.2">
      <c r="A746">
        <v>258454</v>
      </c>
      <c r="B746" t="s">
        <v>104</v>
      </c>
      <c r="C746">
        <v>5</v>
      </c>
      <c r="D746" s="1">
        <v>11601.65</v>
      </c>
      <c r="E746" s="1">
        <v>27944.66</v>
      </c>
      <c r="F746" s="1">
        <v>20422.27</v>
      </c>
      <c r="G746" s="1">
        <v>4079.26</v>
      </c>
    </row>
    <row r="747" spans="1:7" hidden="1" x14ac:dyDescent="0.2">
      <c r="A747">
        <v>258456</v>
      </c>
      <c r="B747" t="s">
        <v>403</v>
      </c>
      <c r="C747">
        <v>5</v>
      </c>
      <c r="D747" s="1">
        <v>1441.7</v>
      </c>
      <c r="E747" s="1">
        <v>7845.77</v>
      </c>
      <c r="F747" s="1">
        <v>7932.65</v>
      </c>
      <c r="G747" s="1">
        <v>1528.58</v>
      </c>
    </row>
    <row r="748" spans="1:7" hidden="1" x14ac:dyDescent="0.2">
      <c r="A748">
        <v>258458</v>
      </c>
      <c r="B748" t="s">
        <v>103</v>
      </c>
      <c r="C748">
        <v>5</v>
      </c>
      <c r="D748" s="1">
        <v>32783.910000000003</v>
      </c>
      <c r="E748" s="1">
        <v>7693.16</v>
      </c>
      <c r="F748" s="1">
        <v>0</v>
      </c>
      <c r="G748" s="1">
        <v>25090.75</v>
      </c>
    </row>
    <row r="749" spans="1:7" hidden="1" x14ac:dyDescent="0.2">
      <c r="A749">
        <v>258460</v>
      </c>
      <c r="B749" t="s">
        <v>102</v>
      </c>
      <c r="C749">
        <v>5</v>
      </c>
      <c r="D749" s="1">
        <v>144.06</v>
      </c>
      <c r="E749" s="1">
        <v>285.33999999999997</v>
      </c>
      <c r="F749" s="1">
        <v>295.54000000000002</v>
      </c>
      <c r="G749" s="1">
        <v>154.26</v>
      </c>
    </row>
    <row r="750" spans="1:7" hidden="1" x14ac:dyDescent="0.2">
      <c r="A750">
        <v>258462</v>
      </c>
      <c r="B750" t="s">
        <v>137</v>
      </c>
      <c r="C750">
        <v>5</v>
      </c>
      <c r="D750" s="1">
        <v>-593.45000000000005</v>
      </c>
      <c r="E750" s="1">
        <v>7020.9</v>
      </c>
      <c r="F750" s="1">
        <v>6215.63</v>
      </c>
      <c r="G750" s="1">
        <v>-1398.72</v>
      </c>
    </row>
    <row r="751" spans="1:7" hidden="1" x14ac:dyDescent="0.2">
      <c r="A751">
        <v>258464</v>
      </c>
      <c r="B751" t="s">
        <v>404</v>
      </c>
      <c r="C751">
        <v>5</v>
      </c>
      <c r="D751" s="1">
        <v>46139.66</v>
      </c>
      <c r="E751" s="1">
        <v>6083.75</v>
      </c>
      <c r="F751" s="1">
        <v>4546.8500000000004</v>
      </c>
      <c r="G751" s="1">
        <v>44602.76</v>
      </c>
    </row>
    <row r="752" spans="1:7" hidden="1" x14ac:dyDescent="0.2">
      <c r="A752">
        <v>258466</v>
      </c>
      <c r="B752" t="s">
        <v>141</v>
      </c>
      <c r="C752">
        <v>5</v>
      </c>
      <c r="D752" s="1">
        <v>68584.3</v>
      </c>
      <c r="E752" s="1">
        <v>56595.71</v>
      </c>
      <c r="F752" s="1">
        <v>40920.19</v>
      </c>
      <c r="G752" s="1">
        <v>52908.78</v>
      </c>
    </row>
    <row r="753" spans="1:7" hidden="1" x14ac:dyDescent="0.2">
      <c r="A753">
        <v>258468</v>
      </c>
      <c r="B753" t="s">
        <v>142</v>
      </c>
      <c r="C753">
        <v>5</v>
      </c>
      <c r="D753" s="1">
        <v>36499.61</v>
      </c>
      <c r="E753" s="1">
        <v>18866.63</v>
      </c>
      <c r="F753" s="1">
        <v>13640.18</v>
      </c>
      <c r="G753" s="1">
        <v>31273.16</v>
      </c>
    </row>
    <row r="754" spans="1:7" hidden="1" x14ac:dyDescent="0.2">
      <c r="A754">
        <v>258469</v>
      </c>
      <c r="B754" t="s">
        <v>684</v>
      </c>
      <c r="C754">
        <v>5</v>
      </c>
      <c r="D754" s="1">
        <v>121897.7</v>
      </c>
      <c r="E754" s="1">
        <v>26682.77</v>
      </c>
      <c r="F754" s="1">
        <v>29444.76</v>
      </c>
      <c r="G754" s="1">
        <v>124659.69</v>
      </c>
    </row>
    <row r="755" spans="1:7" hidden="1" x14ac:dyDescent="0.2">
      <c r="A755">
        <v>258500</v>
      </c>
      <c r="B755" t="s">
        <v>405</v>
      </c>
      <c r="C755">
        <v>4</v>
      </c>
      <c r="D755" s="1">
        <v>10118.200000000001</v>
      </c>
      <c r="E755" s="1">
        <v>21545</v>
      </c>
      <c r="F755" s="1">
        <v>17712</v>
      </c>
      <c r="G755" s="1">
        <v>6285.2</v>
      </c>
    </row>
    <row r="756" spans="1:7" hidden="1" x14ac:dyDescent="0.2">
      <c r="A756">
        <v>258505</v>
      </c>
      <c r="B756" t="s">
        <v>1104</v>
      </c>
      <c r="C756">
        <v>5</v>
      </c>
      <c r="D756" s="1">
        <v>9120.2000000000007</v>
      </c>
      <c r="E756" s="1">
        <v>21545</v>
      </c>
      <c r="F756" s="1">
        <v>17712</v>
      </c>
      <c r="G756" s="1">
        <v>5287.2</v>
      </c>
    </row>
    <row r="757" spans="1:7" hidden="1" x14ac:dyDescent="0.2">
      <c r="A757">
        <v>258506</v>
      </c>
      <c r="B757" t="s">
        <v>406</v>
      </c>
      <c r="C757">
        <v>5</v>
      </c>
      <c r="D757" s="1">
        <v>998</v>
      </c>
      <c r="E757" s="1">
        <v>0</v>
      </c>
      <c r="F757" s="1">
        <v>0</v>
      </c>
      <c r="G757" s="1">
        <v>998</v>
      </c>
    </row>
    <row r="758" spans="1:7" hidden="1" x14ac:dyDescent="0.2">
      <c r="A758">
        <v>258700</v>
      </c>
      <c r="B758" t="s">
        <v>792</v>
      </c>
      <c r="C758">
        <v>4</v>
      </c>
      <c r="D758" s="1">
        <v>5084539.2699999996</v>
      </c>
      <c r="E758" s="1">
        <v>0</v>
      </c>
      <c r="F758" s="1">
        <v>0</v>
      </c>
      <c r="G758" s="1">
        <v>5084539.2699999996</v>
      </c>
    </row>
    <row r="759" spans="1:7" hidden="1" x14ac:dyDescent="0.2">
      <c r="A759">
        <v>258702</v>
      </c>
      <c r="B759" t="s">
        <v>793</v>
      </c>
      <c r="C759">
        <v>5</v>
      </c>
      <c r="D759" s="1">
        <v>5585859.5</v>
      </c>
      <c r="E759" s="1">
        <v>0</v>
      </c>
      <c r="F759" s="1">
        <v>0</v>
      </c>
      <c r="G759" s="1">
        <v>5585859.5</v>
      </c>
    </row>
    <row r="760" spans="1:7" hidden="1" x14ac:dyDescent="0.2">
      <c r="A760">
        <v>258704</v>
      </c>
      <c r="B760" t="s">
        <v>794</v>
      </c>
      <c r="C760">
        <v>5</v>
      </c>
      <c r="D760" s="1">
        <v>-501320.23</v>
      </c>
      <c r="E760" s="1">
        <v>0</v>
      </c>
      <c r="F760" s="1">
        <v>0</v>
      </c>
      <c r="G760" s="1">
        <v>-501320.23</v>
      </c>
    </row>
    <row r="761" spans="1:7" hidden="1" x14ac:dyDescent="0.2">
      <c r="A761">
        <v>259000</v>
      </c>
      <c r="B761" t="s">
        <v>407</v>
      </c>
      <c r="C761">
        <v>4</v>
      </c>
      <c r="D761" s="1">
        <v>2662.15</v>
      </c>
      <c r="E761" s="1">
        <v>0</v>
      </c>
      <c r="F761" s="1">
        <v>0</v>
      </c>
      <c r="G761" s="1">
        <v>2662.15</v>
      </c>
    </row>
    <row r="762" spans="1:7" hidden="1" x14ac:dyDescent="0.2">
      <c r="A762">
        <v>259020</v>
      </c>
      <c r="B762" t="s">
        <v>770</v>
      </c>
      <c r="C762">
        <v>5</v>
      </c>
      <c r="D762" s="1">
        <v>-1200</v>
      </c>
      <c r="E762" s="1">
        <v>0</v>
      </c>
      <c r="F762" s="1">
        <v>0</v>
      </c>
      <c r="G762" s="1">
        <v>-1200</v>
      </c>
    </row>
    <row r="763" spans="1:7" hidden="1" x14ac:dyDescent="0.2">
      <c r="A763">
        <v>259025</v>
      </c>
      <c r="B763" t="s">
        <v>771</v>
      </c>
      <c r="C763">
        <v>5</v>
      </c>
      <c r="D763" s="1">
        <v>3862.15</v>
      </c>
      <c r="E763" s="1">
        <v>0</v>
      </c>
      <c r="F763" s="1">
        <v>0</v>
      </c>
      <c r="G763" s="1">
        <v>3862.15</v>
      </c>
    </row>
    <row r="764" spans="1:7" hidden="1" x14ac:dyDescent="0.2">
      <c r="A764">
        <v>259250</v>
      </c>
      <c r="B764" t="s">
        <v>407</v>
      </c>
      <c r="C764">
        <v>4</v>
      </c>
      <c r="D764" s="1">
        <v>5658803.1100000003</v>
      </c>
      <c r="E764" s="1">
        <v>1015611.94</v>
      </c>
      <c r="F764" s="1">
        <v>1192211.53</v>
      </c>
      <c r="G764" s="1">
        <v>5835402.7000000002</v>
      </c>
    </row>
    <row r="765" spans="1:7" hidden="1" x14ac:dyDescent="0.2">
      <c r="A765">
        <v>259255</v>
      </c>
      <c r="B765" t="s">
        <v>408</v>
      </c>
      <c r="C765">
        <v>5</v>
      </c>
      <c r="D765" s="1">
        <v>5658803.1100000003</v>
      </c>
      <c r="E765" s="1">
        <v>821841.36</v>
      </c>
      <c r="F765" s="1">
        <v>998440.95</v>
      </c>
      <c r="G765" s="1">
        <v>5835402.7000000002</v>
      </c>
    </row>
    <row r="766" spans="1:7" hidden="1" x14ac:dyDescent="0.2">
      <c r="A766">
        <v>260200</v>
      </c>
      <c r="B766" t="s">
        <v>982</v>
      </c>
      <c r="C766">
        <v>5</v>
      </c>
      <c r="D766" s="1">
        <v>0</v>
      </c>
      <c r="E766" s="1">
        <v>193770.58</v>
      </c>
      <c r="F766" s="1">
        <v>193770.58</v>
      </c>
      <c r="G766" s="1">
        <v>0</v>
      </c>
    </row>
    <row r="767" spans="1:7" hidden="1" x14ac:dyDescent="0.2">
      <c r="A767">
        <v>370500</v>
      </c>
      <c r="B767" t="s">
        <v>409</v>
      </c>
      <c r="C767">
        <v>4</v>
      </c>
      <c r="D767" s="1">
        <v>4138236.01</v>
      </c>
      <c r="E767" s="1">
        <v>1866033.24</v>
      </c>
      <c r="F767" s="1">
        <v>657057.99</v>
      </c>
      <c r="G767" s="1">
        <v>2929260.76</v>
      </c>
    </row>
    <row r="768" spans="1:7" hidden="1" x14ac:dyDescent="0.2">
      <c r="A768">
        <v>370502</v>
      </c>
      <c r="B768" t="s">
        <v>410</v>
      </c>
      <c r="C768">
        <v>5</v>
      </c>
      <c r="D768" s="1">
        <v>1633562.06</v>
      </c>
      <c r="E768" s="1">
        <v>195533.93</v>
      </c>
      <c r="F768" s="1">
        <v>314281.67</v>
      </c>
      <c r="G768" s="1">
        <v>1752309.8</v>
      </c>
    </row>
    <row r="769" spans="1:7" hidden="1" x14ac:dyDescent="0.2">
      <c r="A769">
        <v>370506</v>
      </c>
      <c r="B769" t="s">
        <v>411</v>
      </c>
      <c r="C769">
        <v>5</v>
      </c>
      <c r="D769" s="1">
        <v>1018307.11</v>
      </c>
      <c r="E769" s="1">
        <v>1201135.07</v>
      </c>
      <c r="F769" s="1">
        <v>174321.38</v>
      </c>
      <c r="G769" s="1">
        <v>-8506.58</v>
      </c>
    </row>
    <row r="770" spans="1:7" hidden="1" x14ac:dyDescent="0.2">
      <c r="A770">
        <v>370508</v>
      </c>
      <c r="B770" t="s">
        <v>412</v>
      </c>
      <c r="C770">
        <v>5</v>
      </c>
      <c r="D770" s="1">
        <v>591377.68000000005</v>
      </c>
      <c r="E770" s="1">
        <v>64733.59</v>
      </c>
      <c r="F770" s="1">
        <v>106087.23</v>
      </c>
      <c r="G770" s="1">
        <v>632731.31999999995</v>
      </c>
    </row>
    <row r="771" spans="1:7" hidden="1" x14ac:dyDescent="0.2">
      <c r="A771">
        <v>370512</v>
      </c>
      <c r="B771" t="s">
        <v>413</v>
      </c>
      <c r="C771">
        <v>5</v>
      </c>
      <c r="D771" s="1">
        <v>323982.25</v>
      </c>
      <c r="E771" s="1">
        <v>386441.04</v>
      </c>
      <c r="F771" s="1">
        <v>59619.38</v>
      </c>
      <c r="G771" s="1">
        <v>-2839.41</v>
      </c>
    </row>
    <row r="772" spans="1:7" hidden="1" x14ac:dyDescent="0.2">
      <c r="A772">
        <v>370515</v>
      </c>
      <c r="B772" t="s">
        <v>414</v>
      </c>
      <c r="C772">
        <v>5</v>
      </c>
      <c r="D772" s="1">
        <v>571006.91</v>
      </c>
      <c r="E772" s="1">
        <v>18189.61</v>
      </c>
      <c r="F772" s="1">
        <v>2748.33</v>
      </c>
      <c r="G772" s="1">
        <v>555565.63</v>
      </c>
    </row>
    <row r="773" spans="1:7" hidden="1" x14ac:dyDescent="0.2">
      <c r="A773">
        <v>371500</v>
      </c>
      <c r="B773" t="s">
        <v>415</v>
      </c>
      <c r="C773">
        <v>3</v>
      </c>
      <c r="D773" s="1">
        <v>46568668.740000002</v>
      </c>
      <c r="E773" s="1">
        <v>396273.78</v>
      </c>
      <c r="F773" s="1">
        <v>347602.18</v>
      </c>
      <c r="G773" s="1">
        <v>46519997.140000001</v>
      </c>
    </row>
    <row r="774" spans="1:7" hidden="1" x14ac:dyDescent="0.2">
      <c r="A774">
        <v>371510</v>
      </c>
      <c r="B774" t="s">
        <v>416</v>
      </c>
      <c r="C774">
        <v>4</v>
      </c>
      <c r="D774" s="1">
        <v>4800000</v>
      </c>
      <c r="E774" s="1">
        <v>0</v>
      </c>
      <c r="F774" s="1">
        <v>42720</v>
      </c>
      <c r="G774" s="1">
        <v>4842720</v>
      </c>
    </row>
    <row r="775" spans="1:7" hidden="1" x14ac:dyDescent="0.2">
      <c r="A775">
        <v>371511</v>
      </c>
      <c r="B775" t="s">
        <v>417</v>
      </c>
      <c r="C775">
        <v>4</v>
      </c>
      <c r="D775" s="1">
        <v>3766463.37</v>
      </c>
      <c r="E775" s="1">
        <v>0</v>
      </c>
      <c r="F775" s="1">
        <v>33521.53</v>
      </c>
      <c r="G775" s="1">
        <v>3799984.9</v>
      </c>
    </row>
    <row r="776" spans="1:7" hidden="1" x14ac:dyDescent="0.2">
      <c r="A776">
        <v>371512</v>
      </c>
      <c r="B776" t="s">
        <v>795</v>
      </c>
      <c r="C776">
        <v>4</v>
      </c>
      <c r="D776" s="1">
        <v>10509193.859999999</v>
      </c>
      <c r="E776" s="1">
        <v>135370.53</v>
      </c>
      <c r="F776" s="1">
        <v>92872.49</v>
      </c>
      <c r="G776" s="1">
        <v>10466695.82</v>
      </c>
    </row>
    <row r="777" spans="1:7" hidden="1" x14ac:dyDescent="0.2">
      <c r="A777">
        <v>371513</v>
      </c>
      <c r="B777" t="s">
        <v>874</v>
      </c>
      <c r="C777">
        <v>4</v>
      </c>
      <c r="D777" s="1">
        <v>10304132.279999999</v>
      </c>
      <c r="E777" s="1">
        <v>260903.25</v>
      </c>
      <c r="F777" s="1">
        <v>25507.14</v>
      </c>
      <c r="G777" s="1">
        <v>10068736.17</v>
      </c>
    </row>
    <row r="778" spans="1:7" hidden="1" x14ac:dyDescent="0.2">
      <c r="A778">
        <v>371514</v>
      </c>
      <c r="B778" t="s">
        <v>983</v>
      </c>
      <c r="C778">
        <v>4</v>
      </c>
      <c r="D778" s="1">
        <v>9179739.9000000004</v>
      </c>
      <c r="E778" s="1">
        <v>0</v>
      </c>
      <c r="F778" s="1">
        <v>81699.679999999993</v>
      </c>
      <c r="G778" s="1">
        <v>9261439.5800000001</v>
      </c>
    </row>
    <row r="779" spans="1:7" hidden="1" x14ac:dyDescent="0.2">
      <c r="A779">
        <v>371515</v>
      </c>
      <c r="B779" t="s">
        <v>1175</v>
      </c>
      <c r="C779">
        <v>4</v>
      </c>
      <c r="D779" s="1">
        <v>8009139.3300000001</v>
      </c>
      <c r="E779" s="1">
        <v>0</v>
      </c>
      <c r="F779" s="1">
        <v>71281.34</v>
      </c>
      <c r="G779" s="1">
        <v>8080420.6699999999</v>
      </c>
    </row>
    <row r="780" spans="1:7" hidden="1" x14ac:dyDescent="0.2">
      <c r="A780">
        <v>372000</v>
      </c>
      <c r="B780" t="s">
        <v>815</v>
      </c>
      <c r="C780">
        <v>3</v>
      </c>
      <c r="D780" s="1">
        <v>56222.14</v>
      </c>
      <c r="E780" s="1">
        <v>0</v>
      </c>
      <c r="F780" s="1">
        <v>0</v>
      </c>
      <c r="G780" s="1">
        <v>56222.14</v>
      </c>
    </row>
    <row r="781" spans="1:7" hidden="1" x14ac:dyDescent="0.2">
      <c r="A781">
        <v>372001</v>
      </c>
      <c r="B781" t="s">
        <v>816</v>
      </c>
      <c r="C781">
        <v>4</v>
      </c>
      <c r="D781" s="1">
        <v>69843.149999999994</v>
      </c>
      <c r="E781" s="1">
        <v>0</v>
      </c>
      <c r="F781" s="1">
        <v>0</v>
      </c>
      <c r="G781" s="1">
        <v>69843.149999999994</v>
      </c>
    </row>
    <row r="782" spans="1:7" hidden="1" x14ac:dyDescent="0.2">
      <c r="A782">
        <v>372002</v>
      </c>
      <c r="B782" t="s">
        <v>817</v>
      </c>
      <c r="C782">
        <v>4</v>
      </c>
      <c r="D782" s="1">
        <v>-11890.46</v>
      </c>
      <c r="E782" s="1">
        <v>0</v>
      </c>
      <c r="F782" s="1">
        <v>0</v>
      </c>
      <c r="G782" s="1">
        <v>-11890.46</v>
      </c>
    </row>
    <row r="783" spans="1:7" hidden="1" x14ac:dyDescent="0.2">
      <c r="A783">
        <v>372003</v>
      </c>
      <c r="B783" t="s">
        <v>818</v>
      </c>
      <c r="C783">
        <v>4</v>
      </c>
      <c r="D783" s="1">
        <v>-1730.55</v>
      </c>
      <c r="E783" s="1">
        <v>0</v>
      </c>
      <c r="F783" s="1">
        <v>0</v>
      </c>
      <c r="G783" s="1">
        <v>-1730.55</v>
      </c>
    </row>
    <row r="784" spans="1:7" hidden="1" x14ac:dyDescent="0.2">
      <c r="A784">
        <v>540000</v>
      </c>
      <c r="B784" t="s">
        <v>418</v>
      </c>
      <c r="C784">
        <v>2</v>
      </c>
      <c r="D784" s="1">
        <v>20201187.949999999</v>
      </c>
      <c r="E784" s="1">
        <v>516176.72</v>
      </c>
      <c r="F784" s="1">
        <v>85527.15</v>
      </c>
      <c r="G784" s="1">
        <v>19770538.379999999</v>
      </c>
    </row>
    <row r="785" spans="1:7" hidden="1" x14ac:dyDescent="0.2">
      <c r="A785">
        <v>541000</v>
      </c>
      <c r="B785" t="s">
        <v>419</v>
      </c>
      <c r="C785">
        <v>3</v>
      </c>
      <c r="D785" s="1">
        <v>20201187.949999999</v>
      </c>
      <c r="E785" s="1">
        <v>516176.72</v>
      </c>
      <c r="F785" s="1">
        <v>85527.15</v>
      </c>
      <c r="G785" s="1">
        <v>19770538.379999999</v>
      </c>
    </row>
    <row r="786" spans="1:7" hidden="1" x14ac:dyDescent="0.2">
      <c r="A786">
        <v>543500</v>
      </c>
      <c r="B786" t="s">
        <v>420</v>
      </c>
      <c r="C786">
        <v>4</v>
      </c>
      <c r="D786" s="1">
        <v>3432484.05</v>
      </c>
      <c r="E786" s="1">
        <v>0</v>
      </c>
      <c r="F786" s="1">
        <v>31456.48</v>
      </c>
      <c r="G786" s="1">
        <v>3463940.53</v>
      </c>
    </row>
    <row r="787" spans="1:7" hidden="1" x14ac:dyDescent="0.2">
      <c r="A787">
        <v>543502</v>
      </c>
      <c r="B787" t="s">
        <v>421</v>
      </c>
      <c r="C787">
        <v>5</v>
      </c>
      <c r="D787" s="1">
        <v>622768.86</v>
      </c>
      <c r="E787" s="1">
        <v>0</v>
      </c>
      <c r="F787" s="1">
        <v>996.43</v>
      </c>
      <c r="G787" s="1">
        <v>623765.29</v>
      </c>
    </row>
    <row r="788" spans="1:7" hidden="1" x14ac:dyDescent="0.2">
      <c r="A788">
        <v>543504</v>
      </c>
      <c r="B788" t="s">
        <v>422</v>
      </c>
      <c r="C788">
        <v>5</v>
      </c>
      <c r="D788" s="1">
        <v>503564.37</v>
      </c>
      <c r="E788" s="1">
        <v>0</v>
      </c>
      <c r="F788" s="1">
        <v>11212.05</v>
      </c>
      <c r="G788" s="1">
        <v>514776.42</v>
      </c>
    </row>
    <row r="789" spans="1:7" hidden="1" x14ac:dyDescent="0.2">
      <c r="A789">
        <v>543505</v>
      </c>
      <c r="B789" t="s">
        <v>423</v>
      </c>
      <c r="C789">
        <v>5</v>
      </c>
      <c r="D789" s="1">
        <v>808523.14</v>
      </c>
      <c r="E789" s="1">
        <v>0</v>
      </c>
      <c r="F789" s="1">
        <v>16851.8</v>
      </c>
      <c r="G789" s="1">
        <v>825374.94</v>
      </c>
    </row>
    <row r="790" spans="1:7" hidden="1" x14ac:dyDescent="0.2">
      <c r="A790">
        <v>543531</v>
      </c>
      <c r="B790" t="s">
        <v>424</v>
      </c>
      <c r="C790">
        <v>5</v>
      </c>
      <c r="D790" s="1">
        <v>1497627.68</v>
      </c>
      <c r="E790" s="1">
        <v>0</v>
      </c>
      <c r="F790" s="1">
        <v>2396.1999999999998</v>
      </c>
      <c r="G790" s="1">
        <v>1500023.88</v>
      </c>
    </row>
    <row r="791" spans="1:7" hidden="1" x14ac:dyDescent="0.2">
      <c r="A791">
        <v>544500</v>
      </c>
      <c r="B791" t="s">
        <v>425</v>
      </c>
      <c r="C791">
        <v>4</v>
      </c>
      <c r="D791" s="1">
        <v>4109036.76</v>
      </c>
      <c r="E791" s="1">
        <v>10145.73</v>
      </c>
      <c r="F791" s="1">
        <v>3141.08</v>
      </c>
      <c r="G791" s="1">
        <v>4102032.11</v>
      </c>
    </row>
    <row r="792" spans="1:7" hidden="1" x14ac:dyDescent="0.2">
      <c r="A792">
        <v>544502</v>
      </c>
      <c r="B792" t="s">
        <v>426</v>
      </c>
      <c r="C792">
        <v>5</v>
      </c>
      <c r="D792" s="1">
        <v>487290.51</v>
      </c>
      <c r="E792" s="1">
        <v>10145.73</v>
      </c>
      <c r="F792" s="1">
        <v>3141.08</v>
      </c>
      <c r="G792" s="1">
        <v>480285.86</v>
      </c>
    </row>
    <row r="793" spans="1:7" hidden="1" x14ac:dyDescent="0.2">
      <c r="A793">
        <v>544504</v>
      </c>
      <c r="B793" t="s">
        <v>427</v>
      </c>
      <c r="C793">
        <v>5</v>
      </c>
      <c r="D793" s="1">
        <v>3621746.25</v>
      </c>
      <c r="E793" s="1">
        <v>0</v>
      </c>
      <c r="F793" s="1">
        <v>0</v>
      </c>
      <c r="G793" s="1">
        <v>3621746.25</v>
      </c>
    </row>
    <row r="794" spans="1:7" hidden="1" x14ac:dyDescent="0.2">
      <c r="A794">
        <v>545000</v>
      </c>
      <c r="B794" t="s">
        <v>796</v>
      </c>
      <c r="C794">
        <v>4</v>
      </c>
      <c r="D794" s="1">
        <v>12659667.140000001</v>
      </c>
      <c r="E794" s="1">
        <v>506030.99</v>
      </c>
      <c r="F794" s="1">
        <v>50929.59</v>
      </c>
      <c r="G794" s="1">
        <v>12204565.74</v>
      </c>
    </row>
    <row r="795" spans="1:7" hidden="1" x14ac:dyDescent="0.2">
      <c r="A795">
        <v>545002</v>
      </c>
      <c r="B795" t="s">
        <v>793</v>
      </c>
      <c r="C795">
        <v>5</v>
      </c>
      <c r="D795" s="1">
        <v>13137287.130000001</v>
      </c>
      <c r="E795" s="1">
        <v>506030.99</v>
      </c>
      <c r="F795" s="1">
        <v>0</v>
      </c>
      <c r="G795" s="1">
        <v>12631256.140000001</v>
      </c>
    </row>
    <row r="796" spans="1:7" hidden="1" x14ac:dyDescent="0.2">
      <c r="A796">
        <v>545004</v>
      </c>
      <c r="B796" t="s">
        <v>797</v>
      </c>
      <c r="C796">
        <v>5</v>
      </c>
      <c r="D796" s="1">
        <v>-477619.99</v>
      </c>
      <c r="E796" s="1">
        <v>0</v>
      </c>
      <c r="F796" s="1">
        <v>50929.59</v>
      </c>
      <c r="G796" s="1">
        <v>-426690.4</v>
      </c>
    </row>
    <row r="797" spans="1:7" hidden="1" x14ac:dyDescent="0.2">
      <c r="A797">
        <v>550000</v>
      </c>
      <c r="B797" t="s">
        <v>428</v>
      </c>
      <c r="C797">
        <v>2</v>
      </c>
      <c r="D797" s="1">
        <v>-6486778.9900000002</v>
      </c>
      <c r="E797" s="1">
        <v>0</v>
      </c>
      <c r="F797" s="1">
        <v>0</v>
      </c>
      <c r="G797" s="1">
        <v>-6486778.9900000002</v>
      </c>
    </row>
    <row r="798" spans="1:7" hidden="1" x14ac:dyDescent="0.2">
      <c r="A798">
        <v>550100</v>
      </c>
      <c r="B798" t="s">
        <v>429</v>
      </c>
      <c r="C798">
        <v>3</v>
      </c>
      <c r="D798" s="1">
        <v>64571171.130000003</v>
      </c>
      <c r="E798" s="1">
        <v>0</v>
      </c>
      <c r="F798" s="1">
        <v>0</v>
      </c>
      <c r="G798" s="1">
        <v>64571171.130000003</v>
      </c>
    </row>
    <row r="799" spans="1:7" hidden="1" x14ac:dyDescent="0.2">
      <c r="A799">
        <v>550110</v>
      </c>
      <c r="B799" t="s">
        <v>430</v>
      </c>
      <c r="C799">
        <v>4</v>
      </c>
      <c r="D799" s="1">
        <v>64571171.130000003</v>
      </c>
      <c r="E799" s="1">
        <v>0</v>
      </c>
      <c r="F799" s="1">
        <v>0</v>
      </c>
      <c r="G799" s="1">
        <v>64571171.130000003</v>
      </c>
    </row>
    <row r="800" spans="1:7" hidden="1" x14ac:dyDescent="0.2">
      <c r="A800">
        <v>550200</v>
      </c>
      <c r="B800" t="s">
        <v>431</v>
      </c>
      <c r="C800">
        <v>3</v>
      </c>
      <c r="D800" s="1">
        <v>263996.12</v>
      </c>
      <c r="E800" s="1">
        <v>0</v>
      </c>
      <c r="F800" s="1">
        <v>0</v>
      </c>
      <c r="G800" s="1">
        <v>263996.12</v>
      </c>
    </row>
    <row r="801" spans="1:7" hidden="1" x14ac:dyDescent="0.2">
      <c r="A801">
        <v>550210</v>
      </c>
      <c r="B801" t="s">
        <v>432</v>
      </c>
      <c r="C801">
        <v>4</v>
      </c>
      <c r="D801" s="1">
        <v>258025.66</v>
      </c>
      <c r="E801" s="1">
        <v>0</v>
      </c>
      <c r="F801" s="1">
        <v>0</v>
      </c>
      <c r="G801" s="1">
        <v>258025.66</v>
      </c>
    </row>
    <row r="802" spans="1:7" hidden="1" x14ac:dyDescent="0.2">
      <c r="A802">
        <v>550212</v>
      </c>
      <c r="B802" t="s">
        <v>433</v>
      </c>
      <c r="C802">
        <v>5</v>
      </c>
      <c r="D802" s="1">
        <v>257603.46</v>
      </c>
      <c r="E802" s="1">
        <v>0</v>
      </c>
      <c r="F802" s="1">
        <v>0</v>
      </c>
      <c r="G802" s="1">
        <v>257603.46</v>
      </c>
    </row>
    <row r="803" spans="1:7" hidden="1" x14ac:dyDescent="0.2">
      <c r="A803">
        <v>550214</v>
      </c>
      <c r="B803" t="s">
        <v>434</v>
      </c>
      <c r="C803">
        <v>5</v>
      </c>
      <c r="D803" s="1">
        <v>422.2</v>
      </c>
      <c r="E803" s="1">
        <v>0</v>
      </c>
      <c r="F803" s="1">
        <v>0</v>
      </c>
      <c r="G803" s="1">
        <v>422.2</v>
      </c>
    </row>
    <row r="804" spans="1:7" hidden="1" x14ac:dyDescent="0.2">
      <c r="A804">
        <v>550250</v>
      </c>
      <c r="B804" t="s">
        <v>435</v>
      </c>
      <c r="C804">
        <v>4</v>
      </c>
      <c r="D804" s="1">
        <v>5970.46</v>
      </c>
      <c r="E804" s="1">
        <v>0</v>
      </c>
      <c r="F804" s="1">
        <v>0</v>
      </c>
      <c r="G804" s="1">
        <v>5970.46</v>
      </c>
    </row>
    <row r="805" spans="1:7" hidden="1" x14ac:dyDescent="0.2">
      <c r="A805">
        <v>550252</v>
      </c>
      <c r="B805" t="s">
        <v>433</v>
      </c>
      <c r="C805">
        <v>5</v>
      </c>
      <c r="D805" s="1">
        <v>5970.46</v>
      </c>
      <c r="E805" s="1">
        <v>0</v>
      </c>
      <c r="F805" s="1">
        <v>0</v>
      </c>
      <c r="G805" s="1">
        <v>5970.46</v>
      </c>
    </row>
    <row r="806" spans="1:7" hidden="1" x14ac:dyDescent="0.2">
      <c r="A806">
        <v>550900</v>
      </c>
      <c r="B806" t="s">
        <v>436</v>
      </c>
      <c r="C806">
        <v>3</v>
      </c>
      <c r="D806" s="1">
        <v>-71321946.239999995</v>
      </c>
      <c r="E806" s="1">
        <v>0</v>
      </c>
      <c r="F806" s="1">
        <v>0</v>
      </c>
      <c r="G806" s="1">
        <v>-71321946.239999995</v>
      </c>
    </row>
    <row r="807" spans="1:7" hidden="1" x14ac:dyDescent="0.2">
      <c r="A807">
        <v>550910</v>
      </c>
      <c r="B807" t="s">
        <v>437</v>
      </c>
      <c r="C807">
        <v>4</v>
      </c>
      <c r="D807" s="1">
        <v>-71321946.239999995</v>
      </c>
      <c r="E807" s="1">
        <v>0</v>
      </c>
      <c r="F807" s="1">
        <v>0</v>
      </c>
      <c r="G807" s="1">
        <v>-71321946.239999995</v>
      </c>
    </row>
    <row r="808" spans="1:7" hidden="1" x14ac:dyDescent="0.2">
      <c r="A808">
        <v>550912</v>
      </c>
      <c r="B808" t="s">
        <v>438</v>
      </c>
      <c r="C808">
        <v>5</v>
      </c>
      <c r="D808" s="1">
        <v>-71321946.239999995</v>
      </c>
      <c r="E808" s="1">
        <v>0</v>
      </c>
      <c r="F808" s="1">
        <v>0</v>
      </c>
      <c r="G808" s="1">
        <v>-71321946.239999995</v>
      </c>
    </row>
    <row r="809" spans="1:7" hidden="1" x14ac:dyDescent="0.2">
      <c r="A809">
        <v>584005</v>
      </c>
      <c r="B809" t="s">
        <v>268</v>
      </c>
      <c r="C809">
        <v>2</v>
      </c>
      <c r="D809" s="1">
        <v>9873.52</v>
      </c>
      <c r="E809" s="1">
        <v>0</v>
      </c>
      <c r="F809" s="1">
        <v>0</v>
      </c>
      <c r="G809" s="1">
        <v>9873.52</v>
      </c>
    </row>
    <row r="810" spans="1:7" hidden="1" x14ac:dyDescent="0.2">
      <c r="A810">
        <v>587100</v>
      </c>
      <c r="B810" t="s">
        <v>269</v>
      </c>
      <c r="C810">
        <v>3</v>
      </c>
      <c r="D810" s="1">
        <v>140</v>
      </c>
      <c r="E810" s="1">
        <v>0</v>
      </c>
      <c r="F810" s="1">
        <v>0</v>
      </c>
      <c r="G810" s="1">
        <v>140</v>
      </c>
    </row>
    <row r="811" spans="1:7" hidden="1" x14ac:dyDescent="0.2">
      <c r="A811">
        <v>587105</v>
      </c>
      <c r="B811" t="s">
        <v>270</v>
      </c>
      <c r="C811">
        <v>4</v>
      </c>
      <c r="D811" s="1">
        <v>140</v>
      </c>
      <c r="E811" s="1">
        <v>0</v>
      </c>
      <c r="F811" s="1">
        <v>0</v>
      </c>
      <c r="G811" s="1">
        <v>140</v>
      </c>
    </row>
    <row r="812" spans="1:7" hidden="1" x14ac:dyDescent="0.2">
      <c r="A812">
        <v>587200</v>
      </c>
      <c r="B812" t="s">
        <v>271</v>
      </c>
      <c r="C812">
        <v>3</v>
      </c>
      <c r="D812" s="1">
        <v>9733.52</v>
      </c>
      <c r="E812" s="1">
        <v>0</v>
      </c>
      <c r="F812" s="1">
        <v>0</v>
      </c>
      <c r="G812" s="1">
        <v>9733.52</v>
      </c>
    </row>
    <row r="813" spans="1:7" hidden="1" x14ac:dyDescent="0.2">
      <c r="A813">
        <v>587205</v>
      </c>
      <c r="B813" t="s">
        <v>439</v>
      </c>
      <c r="C813">
        <v>4</v>
      </c>
      <c r="D813" s="1">
        <v>9733.52</v>
      </c>
      <c r="E813" s="1">
        <v>0</v>
      </c>
      <c r="F813" s="1">
        <v>0</v>
      </c>
      <c r="G813" s="1">
        <v>9733.52</v>
      </c>
    </row>
    <row r="814" spans="1:7" hidden="1" x14ac:dyDescent="0.2">
      <c r="A814">
        <v>700000</v>
      </c>
      <c r="B814" t="s">
        <v>440</v>
      </c>
      <c r="C814">
        <v>2</v>
      </c>
      <c r="D814" s="1">
        <v>18716435.940000001</v>
      </c>
      <c r="E814" s="1">
        <v>337228.28</v>
      </c>
      <c r="F814" s="1">
        <v>1564195.03</v>
      </c>
      <c r="G814" s="1">
        <v>19943402.690000001</v>
      </c>
    </row>
    <row r="815" spans="1:7" hidden="1" x14ac:dyDescent="0.2">
      <c r="A815">
        <v>701000</v>
      </c>
      <c r="B815" t="s">
        <v>441</v>
      </c>
      <c r="C815">
        <v>3</v>
      </c>
      <c r="D815" s="1">
        <v>14741363.35</v>
      </c>
      <c r="E815" s="1">
        <v>328098.96000000002</v>
      </c>
      <c r="F815" s="1">
        <v>1170503.6299999999</v>
      </c>
      <c r="G815" s="1">
        <v>15583768.02</v>
      </c>
    </row>
    <row r="816" spans="1:7" hidden="1" x14ac:dyDescent="0.2">
      <c r="A816">
        <v>702000</v>
      </c>
      <c r="B816" t="s">
        <v>442</v>
      </c>
      <c r="C816">
        <v>4</v>
      </c>
      <c r="D816" s="1">
        <v>5190340.6399999997</v>
      </c>
      <c r="E816" s="1">
        <v>25887.45</v>
      </c>
      <c r="F816" s="1">
        <v>428670.46</v>
      </c>
      <c r="G816" s="1">
        <v>5593123.6500000004</v>
      </c>
    </row>
    <row r="817" spans="1:7" hidden="1" x14ac:dyDescent="0.2">
      <c r="A817">
        <v>702005</v>
      </c>
      <c r="B817" t="s">
        <v>443</v>
      </c>
      <c r="C817">
        <v>5</v>
      </c>
      <c r="D817" s="1">
        <v>2921127.02</v>
      </c>
      <c r="E817" s="1">
        <v>21325.86</v>
      </c>
      <c r="F817" s="1">
        <v>251710.1</v>
      </c>
      <c r="G817" s="1">
        <v>3151511.26</v>
      </c>
    </row>
    <row r="818" spans="1:7" hidden="1" x14ac:dyDescent="0.2">
      <c r="A818">
        <v>702010</v>
      </c>
      <c r="B818" t="s">
        <v>444</v>
      </c>
      <c r="C818">
        <v>5</v>
      </c>
      <c r="D818" s="1">
        <v>247714.4</v>
      </c>
      <c r="E818" s="1">
        <v>806.97</v>
      </c>
      <c r="F818" s="1">
        <v>15900.8</v>
      </c>
      <c r="G818" s="1">
        <v>262808.23</v>
      </c>
    </row>
    <row r="819" spans="1:7" hidden="1" x14ac:dyDescent="0.2">
      <c r="A819">
        <v>702015</v>
      </c>
      <c r="B819" t="s">
        <v>445</v>
      </c>
      <c r="C819">
        <v>5</v>
      </c>
      <c r="D819" s="1">
        <v>764307.06</v>
      </c>
      <c r="E819" s="1">
        <v>3754.62</v>
      </c>
      <c r="F819" s="1">
        <v>52555</v>
      </c>
      <c r="G819" s="1">
        <v>813107.44</v>
      </c>
    </row>
    <row r="820" spans="1:7" hidden="1" x14ac:dyDescent="0.2">
      <c r="A820">
        <v>702020</v>
      </c>
      <c r="B820" t="s">
        <v>446</v>
      </c>
      <c r="C820">
        <v>5</v>
      </c>
      <c r="D820" s="1">
        <v>194516.2</v>
      </c>
      <c r="E820" s="1">
        <v>0</v>
      </c>
      <c r="F820" s="1">
        <v>15514.07</v>
      </c>
      <c r="G820" s="1">
        <v>210030.27</v>
      </c>
    </row>
    <row r="821" spans="1:7" hidden="1" x14ac:dyDescent="0.2">
      <c r="A821">
        <v>702031</v>
      </c>
      <c r="B821" t="s">
        <v>750</v>
      </c>
      <c r="C821">
        <v>5</v>
      </c>
      <c r="D821" s="1">
        <v>134797.96</v>
      </c>
      <c r="E821" s="1">
        <v>0</v>
      </c>
      <c r="F821" s="1">
        <v>25677.99</v>
      </c>
      <c r="G821" s="1">
        <v>160475.95000000001</v>
      </c>
    </row>
    <row r="822" spans="1:7" hidden="1" x14ac:dyDescent="0.2">
      <c r="A822">
        <v>702035</v>
      </c>
      <c r="B822" t="s">
        <v>447</v>
      </c>
      <c r="C822">
        <v>5</v>
      </c>
      <c r="D822" s="1">
        <v>906450</v>
      </c>
      <c r="E822" s="1">
        <v>0</v>
      </c>
      <c r="F822" s="1">
        <v>67312.5</v>
      </c>
      <c r="G822" s="1">
        <v>973762.5</v>
      </c>
    </row>
    <row r="823" spans="1:7" hidden="1" x14ac:dyDescent="0.2">
      <c r="A823">
        <v>702040</v>
      </c>
      <c r="B823" t="s">
        <v>833</v>
      </c>
      <c r="C823">
        <v>5</v>
      </c>
      <c r="D823" s="1">
        <v>21428</v>
      </c>
      <c r="E823" s="1">
        <v>0</v>
      </c>
      <c r="F823" s="1">
        <v>0</v>
      </c>
      <c r="G823" s="1">
        <v>21428</v>
      </c>
    </row>
    <row r="824" spans="1:7" hidden="1" x14ac:dyDescent="0.2">
      <c r="A824">
        <v>703020</v>
      </c>
      <c r="B824" t="s">
        <v>448</v>
      </c>
      <c r="C824">
        <v>4</v>
      </c>
      <c r="D824" s="1">
        <v>7817164.2300000004</v>
      </c>
      <c r="E824" s="1">
        <v>105392.16</v>
      </c>
      <c r="F824" s="1">
        <v>505295.25</v>
      </c>
      <c r="G824" s="1">
        <v>8217067.3200000003</v>
      </c>
    </row>
    <row r="825" spans="1:7" hidden="1" x14ac:dyDescent="0.2">
      <c r="A825">
        <v>703035</v>
      </c>
      <c r="B825" t="s">
        <v>449</v>
      </c>
      <c r="C825">
        <v>5</v>
      </c>
      <c r="D825" s="1">
        <v>7925752.0499999998</v>
      </c>
      <c r="E825" s="1">
        <v>31467.41</v>
      </c>
      <c r="F825" s="1">
        <v>442959.87</v>
      </c>
      <c r="G825" s="1">
        <v>8337244.5099999998</v>
      </c>
    </row>
    <row r="826" spans="1:7" hidden="1" x14ac:dyDescent="0.2">
      <c r="A826">
        <v>703036</v>
      </c>
      <c r="B826" t="s">
        <v>450</v>
      </c>
      <c r="C826">
        <v>5</v>
      </c>
      <c r="D826" s="1">
        <v>80066.16</v>
      </c>
      <c r="E826" s="1">
        <v>94.1</v>
      </c>
      <c r="F826" s="1">
        <v>2927.7</v>
      </c>
      <c r="G826" s="1">
        <v>82899.759999999995</v>
      </c>
    </row>
    <row r="827" spans="1:7" hidden="1" x14ac:dyDescent="0.2">
      <c r="A827">
        <v>703037</v>
      </c>
      <c r="B827" t="s">
        <v>451</v>
      </c>
      <c r="C827">
        <v>5</v>
      </c>
      <c r="D827" s="1">
        <v>369849.1</v>
      </c>
      <c r="E827" s="1">
        <v>2138.15</v>
      </c>
      <c r="F827" s="1">
        <v>18128.060000000001</v>
      </c>
      <c r="G827" s="1">
        <v>385839.01</v>
      </c>
    </row>
    <row r="828" spans="1:7" hidden="1" x14ac:dyDescent="0.2">
      <c r="A828">
        <v>703038</v>
      </c>
      <c r="B828" t="s">
        <v>452</v>
      </c>
      <c r="C828">
        <v>5</v>
      </c>
      <c r="D828" s="1">
        <v>-906450</v>
      </c>
      <c r="E828" s="1">
        <v>67312.5</v>
      </c>
      <c r="F828" s="1">
        <v>0</v>
      </c>
      <c r="G828" s="1">
        <v>-973762.5</v>
      </c>
    </row>
    <row r="829" spans="1:7" hidden="1" x14ac:dyDescent="0.2">
      <c r="A829">
        <v>703039</v>
      </c>
      <c r="B829" t="s">
        <v>834</v>
      </c>
      <c r="C829">
        <v>5</v>
      </c>
      <c r="D829" s="1">
        <v>-21428</v>
      </c>
      <c r="E829" s="1">
        <v>0</v>
      </c>
      <c r="F829" s="1">
        <v>0</v>
      </c>
      <c r="G829" s="1">
        <v>-21428</v>
      </c>
    </row>
    <row r="830" spans="1:7" hidden="1" x14ac:dyDescent="0.2">
      <c r="A830">
        <v>703040</v>
      </c>
      <c r="B830" t="s">
        <v>453</v>
      </c>
      <c r="C830">
        <v>5</v>
      </c>
      <c r="D830" s="1">
        <v>3364.87</v>
      </c>
      <c r="E830" s="1">
        <v>0</v>
      </c>
      <c r="F830" s="1">
        <v>500</v>
      </c>
      <c r="G830" s="1">
        <v>3864.87</v>
      </c>
    </row>
    <row r="831" spans="1:7" hidden="1" x14ac:dyDescent="0.2">
      <c r="A831">
        <v>703060</v>
      </c>
      <c r="B831" t="s">
        <v>454</v>
      </c>
      <c r="C831">
        <v>5</v>
      </c>
      <c r="D831" s="1">
        <v>4979</v>
      </c>
      <c r="E831" s="1">
        <v>0</v>
      </c>
      <c r="F831" s="1">
        <v>0</v>
      </c>
      <c r="G831" s="1">
        <v>4979</v>
      </c>
    </row>
    <row r="832" spans="1:7" hidden="1" x14ac:dyDescent="0.2">
      <c r="A832">
        <v>703062</v>
      </c>
      <c r="B832" t="s">
        <v>455</v>
      </c>
      <c r="C832">
        <v>5</v>
      </c>
      <c r="D832" s="1">
        <v>109839</v>
      </c>
      <c r="E832" s="1">
        <v>2579</v>
      </c>
      <c r="F832" s="1">
        <v>22220</v>
      </c>
      <c r="G832" s="1">
        <v>129480</v>
      </c>
    </row>
    <row r="833" spans="1:7" hidden="1" x14ac:dyDescent="0.2">
      <c r="A833">
        <v>703065</v>
      </c>
      <c r="B833" t="s">
        <v>1105</v>
      </c>
      <c r="C833">
        <v>5</v>
      </c>
      <c r="D833" s="1">
        <v>48</v>
      </c>
      <c r="E833" s="1">
        <v>0</v>
      </c>
      <c r="F833" s="1">
        <v>0</v>
      </c>
      <c r="G833" s="1">
        <v>48</v>
      </c>
    </row>
    <row r="834" spans="1:7" hidden="1" x14ac:dyDescent="0.2">
      <c r="A834">
        <v>703070</v>
      </c>
      <c r="B834" t="s">
        <v>456</v>
      </c>
      <c r="C834">
        <v>5</v>
      </c>
      <c r="D834" s="1">
        <v>310</v>
      </c>
      <c r="E834" s="1">
        <v>0</v>
      </c>
      <c r="F834" s="1">
        <v>0</v>
      </c>
      <c r="G834" s="1">
        <v>310</v>
      </c>
    </row>
    <row r="835" spans="1:7" hidden="1" x14ac:dyDescent="0.2">
      <c r="A835">
        <v>703071</v>
      </c>
      <c r="B835" t="s">
        <v>733</v>
      </c>
      <c r="C835">
        <v>5</v>
      </c>
      <c r="D835" s="1">
        <v>620</v>
      </c>
      <c r="E835" s="1">
        <v>0</v>
      </c>
      <c r="F835" s="1">
        <v>68</v>
      </c>
      <c r="G835" s="1">
        <v>688</v>
      </c>
    </row>
    <row r="836" spans="1:7" hidden="1" x14ac:dyDescent="0.2">
      <c r="A836">
        <v>703075</v>
      </c>
      <c r="B836" t="s">
        <v>457</v>
      </c>
      <c r="C836">
        <v>5</v>
      </c>
      <c r="D836" s="1">
        <v>149316.9</v>
      </c>
      <c r="E836" s="1">
        <v>833</v>
      </c>
      <c r="F836" s="1">
        <v>7491</v>
      </c>
      <c r="G836" s="1">
        <v>155974.9</v>
      </c>
    </row>
    <row r="837" spans="1:7" hidden="1" x14ac:dyDescent="0.2">
      <c r="A837">
        <v>703076</v>
      </c>
      <c r="B837" t="s">
        <v>856</v>
      </c>
      <c r="C837">
        <v>5</v>
      </c>
      <c r="D837" s="1">
        <v>4752</v>
      </c>
      <c r="E837" s="1">
        <v>0</v>
      </c>
      <c r="F837" s="1">
        <v>0</v>
      </c>
      <c r="G837" s="1">
        <v>4752</v>
      </c>
    </row>
    <row r="838" spans="1:7" hidden="1" x14ac:dyDescent="0.2">
      <c r="A838">
        <v>703077</v>
      </c>
      <c r="B838" t="s">
        <v>458</v>
      </c>
      <c r="C838">
        <v>5</v>
      </c>
      <c r="D838" s="1">
        <v>422.18</v>
      </c>
      <c r="E838" s="1">
        <v>0</v>
      </c>
      <c r="F838" s="1">
        <v>4.8</v>
      </c>
      <c r="G838" s="1">
        <v>426.98</v>
      </c>
    </row>
    <row r="839" spans="1:7" hidden="1" x14ac:dyDescent="0.2">
      <c r="A839">
        <v>703078</v>
      </c>
      <c r="B839" t="s">
        <v>1176</v>
      </c>
      <c r="C839">
        <v>5</v>
      </c>
      <c r="D839" s="1">
        <v>1315</v>
      </c>
      <c r="E839" s="1">
        <v>0</v>
      </c>
      <c r="F839" s="1">
        <v>4640</v>
      </c>
      <c r="G839" s="1">
        <v>5955</v>
      </c>
    </row>
    <row r="840" spans="1:7" hidden="1" x14ac:dyDescent="0.2">
      <c r="A840">
        <v>703090</v>
      </c>
      <c r="B840" t="s">
        <v>459</v>
      </c>
      <c r="C840">
        <v>5</v>
      </c>
      <c r="D840" s="1">
        <v>53306.25</v>
      </c>
      <c r="E840" s="1">
        <v>88</v>
      </c>
      <c r="F840" s="1">
        <v>3227.5</v>
      </c>
      <c r="G840" s="1">
        <v>56445.75</v>
      </c>
    </row>
    <row r="841" spans="1:7" hidden="1" x14ac:dyDescent="0.2">
      <c r="A841">
        <v>703100</v>
      </c>
      <c r="B841" t="s">
        <v>460</v>
      </c>
      <c r="C841">
        <v>5</v>
      </c>
      <c r="D841" s="1">
        <v>800</v>
      </c>
      <c r="E841" s="1">
        <v>580</v>
      </c>
      <c r="F841" s="1">
        <v>580</v>
      </c>
      <c r="G841" s="1">
        <v>800</v>
      </c>
    </row>
    <row r="842" spans="1:7" hidden="1" x14ac:dyDescent="0.2">
      <c r="A842">
        <v>703105</v>
      </c>
      <c r="B842" t="s">
        <v>461</v>
      </c>
      <c r="C842">
        <v>5</v>
      </c>
      <c r="D842" s="1">
        <v>615.4</v>
      </c>
      <c r="E842" s="1">
        <v>0</v>
      </c>
      <c r="F842" s="1">
        <v>200.5</v>
      </c>
      <c r="G842" s="1">
        <v>815.9</v>
      </c>
    </row>
    <row r="843" spans="1:7" hidden="1" x14ac:dyDescent="0.2">
      <c r="A843">
        <v>703110</v>
      </c>
      <c r="B843" t="s">
        <v>1106</v>
      </c>
      <c r="C843">
        <v>5</v>
      </c>
      <c r="D843" s="1">
        <v>1523.81</v>
      </c>
      <c r="E843" s="1">
        <v>0</v>
      </c>
      <c r="F843" s="1">
        <v>0</v>
      </c>
      <c r="G843" s="1">
        <v>1523.81</v>
      </c>
    </row>
    <row r="844" spans="1:7" hidden="1" x14ac:dyDescent="0.2">
      <c r="A844">
        <v>703151</v>
      </c>
      <c r="B844" t="s">
        <v>462</v>
      </c>
      <c r="C844">
        <v>5</v>
      </c>
      <c r="D844" s="1">
        <v>6490</v>
      </c>
      <c r="E844" s="1">
        <v>0</v>
      </c>
      <c r="F844" s="1">
        <v>0</v>
      </c>
      <c r="G844" s="1">
        <v>6490</v>
      </c>
    </row>
    <row r="845" spans="1:7" hidden="1" x14ac:dyDescent="0.2">
      <c r="A845">
        <v>703229</v>
      </c>
      <c r="B845" t="s">
        <v>463</v>
      </c>
      <c r="C845">
        <v>5</v>
      </c>
      <c r="D845" s="1">
        <v>152.88999999999999</v>
      </c>
      <c r="E845" s="1">
        <v>0</v>
      </c>
      <c r="F845" s="1">
        <v>8.1999999999999993</v>
      </c>
      <c r="G845" s="1">
        <v>161.09</v>
      </c>
    </row>
    <row r="846" spans="1:7" hidden="1" x14ac:dyDescent="0.2">
      <c r="A846">
        <v>703311</v>
      </c>
      <c r="B846" t="s">
        <v>464</v>
      </c>
      <c r="C846">
        <v>5</v>
      </c>
      <c r="D846" s="1">
        <v>125.96</v>
      </c>
      <c r="E846" s="1">
        <v>0</v>
      </c>
      <c r="F846" s="1">
        <v>4.62</v>
      </c>
      <c r="G846" s="1">
        <v>130.58000000000001</v>
      </c>
    </row>
    <row r="847" spans="1:7" hidden="1" x14ac:dyDescent="0.2">
      <c r="A847">
        <v>703312</v>
      </c>
      <c r="B847" t="s">
        <v>465</v>
      </c>
      <c r="C847">
        <v>5</v>
      </c>
      <c r="D847" s="1">
        <v>4430</v>
      </c>
      <c r="E847" s="1">
        <v>0</v>
      </c>
      <c r="F847" s="1">
        <v>0</v>
      </c>
      <c r="G847" s="1">
        <v>4430</v>
      </c>
    </row>
    <row r="848" spans="1:7" hidden="1" x14ac:dyDescent="0.2">
      <c r="A848">
        <v>703315</v>
      </c>
      <c r="B848" t="s">
        <v>466</v>
      </c>
      <c r="C848">
        <v>5</v>
      </c>
      <c r="D848" s="1">
        <v>17350</v>
      </c>
      <c r="E848" s="1">
        <v>0</v>
      </c>
      <c r="F848" s="1">
        <v>0</v>
      </c>
      <c r="G848" s="1">
        <v>17350</v>
      </c>
    </row>
    <row r="849" spans="1:7" hidden="1" x14ac:dyDescent="0.2">
      <c r="A849">
        <v>703320</v>
      </c>
      <c r="B849" t="s">
        <v>1301</v>
      </c>
      <c r="C849">
        <v>5</v>
      </c>
      <c r="D849" s="1">
        <v>0</v>
      </c>
      <c r="E849" s="1">
        <v>0</v>
      </c>
      <c r="F849" s="1">
        <v>230</v>
      </c>
      <c r="G849" s="1">
        <v>230</v>
      </c>
    </row>
    <row r="850" spans="1:7" hidden="1" x14ac:dyDescent="0.2">
      <c r="A850">
        <v>703331</v>
      </c>
      <c r="B850" t="s">
        <v>467</v>
      </c>
      <c r="C850">
        <v>5</v>
      </c>
      <c r="D850" s="1">
        <v>4465</v>
      </c>
      <c r="E850" s="1">
        <v>0</v>
      </c>
      <c r="F850" s="1">
        <v>1805</v>
      </c>
      <c r="G850" s="1">
        <v>6270</v>
      </c>
    </row>
    <row r="851" spans="1:7" hidden="1" x14ac:dyDescent="0.2">
      <c r="A851">
        <v>703332</v>
      </c>
      <c r="B851" t="s">
        <v>468</v>
      </c>
      <c r="C851">
        <v>5</v>
      </c>
      <c r="D851" s="1">
        <v>600</v>
      </c>
      <c r="E851" s="1">
        <v>300</v>
      </c>
      <c r="F851" s="1">
        <v>300</v>
      </c>
      <c r="G851" s="1">
        <v>600</v>
      </c>
    </row>
    <row r="852" spans="1:7" hidden="1" x14ac:dyDescent="0.2">
      <c r="A852">
        <v>703333</v>
      </c>
      <c r="B852" t="s">
        <v>1107</v>
      </c>
      <c r="C852">
        <v>5</v>
      </c>
      <c r="D852" s="1">
        <v>4548.66</v>
      </c>
      <c r="E852" s="1">
        <v>0</v>
      </c>
      <c r="F852" s="1">
        <v>0</v>
      </c>
      <c r="G852" s="1">
        <v>4548.66</v>
      </c>
    </row>
    <row r="853" spans="1:7" hidden="1" x14ac:dyDescent="0.2">
      <c r="A853">
        <v>704000</v>
      </c>
      <c r="B853" t="s">
        <v>469</v>
      </c>
      <c r="C853">
        <v>4</v>
      </c>
      <c r="D853" s="1">
        <v>2609319.35</v>
      </c>
      <c r="E853" s="1">
        <v>81085</v>
      </c>
      <c r="F853" s="1">
        <v>233396.35</v>
      </c>
      <c r="G853" s="1">
        <v>2761630.7</v>
      </c>
    </row>
    <row r="854" spans="1:7" hidden="1" x14ac:dyDescent="0.2">
      <c r="A854">
        <v>704005</v>
      </c>
      <c r="B854" t="s">
        <v>470</v>
      </c>
      <c r="C854">
        <v>5</v>
      </c>
      <c r="D854" s="1">
        <v>2608789.35</v>
      </c>
      <c r="E854" s="1">
        <v>81085</v>
      </c>
      <c r="F854" s="1">
        <v>233396.35</v>
      </c>
      <c r="G854" s="1">
        <v>2761100.7</v>
      </c>
    </row>
    <row r="855" spans="1:7" hidden="1" x14ac:dyDescent="0.2">
      <c r="A855">
        <v>704015</v>
      </c>
      <c r="B855" t="s">
        <v>471</v>
      </c>
      <c r="C855">
        <v>5</v>
      </c>
      <c r="D855" s="1">
        <v>530</v>
      </c>
      <c r="E855" s="1">
        <v>0</v>
      </c>
      <c r="F855" s="1">
        <v>0</v>
      </c>
      <c r="G855" s="1">
        <v>530</v>
      </c>
    </row>
    <row r="856" spans="1:7" hidden="1" x14ac:dyDescent="0.2">
      <c r="A856">
        <v>708270</v>
      </c>
      <c r="B856" t="s">
        <v>472</v>
      </c>
      <c r="C856">
        <v>4</v>
      </c>
      <c r="D856" s="1">
        <v>-814812.97</v>
      </c>
      <c r="E856" s="1">
        <v>94688.46</v>
      </c>
      <c r="F856" s="1">
        <v>3141.57</v>
      </c>
      <c r="G856" s="1">
        <v>-906359.86</v>
      </c>
    </row>
    <row r="857" spans="1:7" hidden="1" x14ac:dyDescent="0.2">
      <c r="A857">
        <v>708275</v>
      </c>
      <c r="B857" t="s">
        <v>473</v>
      </c>
      <c r="C857">
        <v>5</v>
      </c>
      <c r="D857" s="1">
        <v>-229005.55</v>
      </c>
      <c r="E857" s="1">
        <v>52034.91</v>
      </c>
      <c r="F857" s="1">
        <v>2092.59</v>
      </c>
      <c r="G857" s="1">
        <v>-278947.87</v>
      </c>
    </row>
    <row r="858" spans="1:7" hidden="1" x14ac:dyDescent="0.2">
      <c r="A858">
        <v>708280</v>
      </c>
      <c r="B858" t="s">
        <v>474</v>
      </c>
      <c r="C858">
        <v>5</v>
      </c>
      <c r="D858" s="1">
        <v>-49630.65</v>
      </c>
      <c r="E858" s="1">
        <v>11290.72</v>
      </c>
      <c r="F858" s="1">
        <v>453.39</v>
      </c>
      <c r="G858" s="1">
        <v>-60467.98</v>
      </c>
    </row>
    <row r="859" spans="1:7" hidden="1" x14ac:dyDescent="0.2">
      <c r="A859">
        <v>708285</v>
      </c>
      <c r="B859" t="s">
        <v>475</v>
      </c>
      <c r="C859">
        <v>5</v>
      </c>
      <c r="D859" s="1">
        <v>-104442.89</v>
      </c>
      <c r="E859" s="1">
        <v>8166.86</v>
      </c>
      <c r="F859" s="1">
        <v>0</v>
      </c>
      <c r="G859" s="1">
        <v>-112609.75</v>
      </c>
    </row>
    <row r="860" spans="1:7" hidden="1" x14ac:dyDescent="0.2">
      <c r="A860">
        <v>708290</v>
      </c>
      <c r="B860" t="s">
        <v>476</v>
      </c>
      <c r="C860">
        <v>5</v>
      </c>
      <c r="D860" s="1">
        <v>-431733.88</v>
      </c>
      <c r="E860" s="1">
        <v>23195.97</v>
      </c>
      <c r="F860" s="1">
        <v>595.59</v>
      </c>
      <c r="G860" s="1">
        <v>-454334.26</v>
      </c>
    </row>
    <row r="861" spans="1:7" hidden="1" x14ac:dyDescent="0.2">
      <c r="A861">
        <v>709290</v>
      </c>
      <c r="B861" t="s">
        <v>477</v>
      </c>
      <c r="C861">
        <v>4</v>
      </c>
      <c r="D861" s="1">
        <v>-60647.9</v>
      </c>
      <c r="E861" s="1">
        <v>21045.89</v>
      </c>
      <c r="F861" s="1">
        <v>0</v>
      </c>
      <c r="G861" s="1">
        <v>-81693.789999999994</v>
      </c>
    </row>
    <row r="862" spans="1:7" hidden="1" x14ac:dyDescent="0.2">
      <c r="A862">
        <v>715290</v>
      </c>
      <c r="B862" t="s">
        <v>478</v>
      </c>
      <c r="C862">
        <v>3</v>
      </c>
      <c r="D862" s="1">
        <v>3987197.67</v>
      </c>
      <c r="E862" s="1">
        <v>0.05</v>
      </c>
      <c r="F862" s="1">
        <v>393691.4</v>
      </c>
      <c r="G862" s="1">
        <v>4380889.0199999996</v>
      </c>
    </row>
    <row r="863" spans="1:7" hidden="1" x14ac:dyDescent="0.2">
      <c r="A863">
        <v>717300</v>
      </c>
      <c r="B863" t="s">
        <v>479</v>
      </c>
      <c r="C863">
        <v>4</v>
      </c>
      <c r="D863" s="1">
        <v>776728.87</v>
      </c>
      <c r="E863" s="1">
        <v>0</v>
      </c>
      <c r="F863" s="1">
        <v>39437.08</v>
      </c>
      <c r="G863" s="1">
        <v>816165.95</v>
      </c>
    </row>
    <row r="864" spans="1:7" hidden="1" x14ac:dyDescent="0.2">
      <c r="A864">
        <v>718305</v>
      </c>
      <c r="B864" t="s">
        <v>480</v>
      </c>
      <c r="C864">
        <v>5</v>
      </c>
      <c r="D864" s="1">
        <v>45366.19</v>
      </c>
      <c r="E864" s="1">
        <v>0</v>
      </c>
      <c r="F864" s="1">
        <v>16452.560000000001</v>
      </c>
      <c r="G864" s="1">
        <v>61818.75</v>
      </c>
    </row>
    <row r="865" spans="1:7" hidden="1" x14ac:dyDescent="0.2">
      <c r="A865">
        <v>718312</v>
      </c>
      <c r="B865" t="s">
        <v>481</v>
      </c>
      <c r="C865">
        <v>5</v>
      </c>
      <c r="D865" s="1">
        <v>1290.45</v>
      </c>
      <c r="E865" s="1">
        <v>0</v>
      </c>
      <c r="F865" s="1">
        <v>87.66</v>
      </c>
      <c r="G865" s="1">
        <v>1378.11</v>
      </c>
    </row>
    <row r="866" spans="1:7" hidden="1" x14ac:dyDescent="0.2">
      <c r="A866">
        <v>718313</v>
      </c>
      <c r="B866" t="s">
        <v>482</v>
      </c>
      <c r="C866">
        <v>5</v>
      </c>
      <c r="D866" s="1">
        <v>7948.2</v>
      </c>
      <c r="E866" s="1">
        <v>0</v>
      </c>
      <c r="F866" s="1">
        <v>486.81</v>
      </c>
      <c r="G866" s="1">
        <v>8435.01</v>
      </c>
    </row>
    <row r="867" spans="1:7" hidden="1" x14ac:dyDescent="0.2">
      <c r="A867">
        <v>718500</v>
      </c>
      <c r="B867" t="s">
        <v>835</v>
      </c>
      <c r="C867">
        <v>5</v>
      </c>
      <c r="D867" s="1">
        <v>98.37</v>
      </c>
      <c r="E867" s="1">
        <v>0</v>
      </c>
      <c r="F867" s="1">
        <v>0</v>
      </c>
      <c r="G867" s="1">
        <v>98.37</v>
      </c>
    </row>
    <row r="868" spans="1:7" hidden="1" x14ac:dyDescent="0.2">
      <c r="A868">
        <v>718510</v>
      </c>
      <c r="B868" t="s">
        <v>483</v>
      </c>
      <c r="C868">
        <v>5</v>
      </c>
      <c r="D868" s="1">
        <v>7922.8</v>
      </c>
      <c r="E868" s="1">
        <v>0</v>
      </c>
      <c r="F868" s="1">
        <v>0</v>
      </c>
      <c r="G868" s="1">
        <v>7922.8</v>
      </c>
    </row>
    <row r="869" spans="1:7" hidden="1" x14ac:dyDescent="0.2">
      <c r="A869">
        <v>718530</v>
      </c>
      <c r="B869" t="s">
        <v>857</v>
      </c>
      <c r="C869">
        <v>5</v>
      </c>
      <c r="D869" s="1">
        <v>509976.32000000001</v>
      </c>
      <c r="E869" s="1">
        <v>0</v>
      </c>
      <c r="F869" s="1">
        <v>0</v>
      </c>
      <c r="G869" s="1">
        <v>509976.32000000001</v>
      </c>
    </row>
    <row r="870" spans="1:7" hidden="1" x14ac:dyDescent="0.2">
      <c r="A870">
        <v>718550</v>
      </c>
      <c r="B870" t="s">
        <v>484</v>
      </c>
      <c r="C870">
        <v>5</v>
      </c>
      <c r="D870" s="1">
        <v>44342.6</v>
      </c>
      <c r="E870" s="1">
        <v>0</v>
      </c>
      <c r="F870" s="1">
        <v>2176.88</v>
      </c>
      <c r="G870" s="1">
        <v>46519.48</v>
      </c>
    </row>
    <row r="871" spans="1:7" hidden="1" x14ac:dyDescent="0.2">
      <c r="A871">
        <v>718555</v>
      </c>
      <c r="B871" t="s">
        <v>485</v>
      </c>
      <c r="C871">
        <v>5</v>
      </c>
      <c r="D871" s="1">
        <v>159783.94</v>
      </c>
      <c r="E871" s="1">
        <v>0</v>
      </c>
      <c r="F871" s="1">
        <v>20233.169999999998</v>
      </c>
      <c r="G871" s="1">
        <v>180017.11</v>
      </c>
    </row>
    <row r="872" spans="1:7" hidden="1" x14ac:dyDescent="0.2">
      <c r="A872">
        <v>726300</v>
      </c>
      <c r="B872" t="s">
        <v>486</v>
      </c>
      <c r="C872">
        <v>4</v>
      </c>
      <c r="D872" s="1">
        <v>751770.76</v>
      </c>
      <c r="E872" s="1">
        <v>0</v>
      </c>
      <c r="F872" s="1">
        <v>38665.269999999997</v>
      </c>
      <c r="G872" s="1">
        <v>790436.03</v>
      </c>
    </row>
    <row r="873" spans="1:7" hidden="1" x14ac:dyDescent="0.2">
      <c r="A873">
        <v>726330</v>
      </c>
      <c r="B873" t="s">
        <v>487</v>
      </c>
      <c r="C873">
        <v>5</v>
      </c>
      <c r="D873" s="1">
        <v>-2774.69</v>
      </c>
      <c r="E873" s="1">
        <v>0</v>
      </c>
      <c r="F873" s="1">
        <v>0</v>
      </c>
      <c r="G873" s="1">
        <v>-2774.69</v>
      </c>
    </row>
    <row r="874" spans="1:7" hidden="1" x14ac:dyDescent="0.2">
      <c r="A874">
        <v>726335</v>
      </c>
      <c r="B874" t="s">
        <v>488</v>
      </c>
      <c r="C874">
        <v>5</v>
      </c>
      <c r="D874" s="1">
        <v>180000</v>
      </c>
      <c r="E874" s="1">
        <v>0</v>
      </c>
      <c r="F874" s="1">
        <v>0</v>
      </c>
      <c r="G874" s="1">
        <v>180000</v>
      </c>
    </row>
    <row r="875" spans="1:7" hidden="1" x14ac:dyDescent="0.2">
      <c r="A875">
        <v>726336</v>
      </c>
      <c r="B875" t="s">
        <v>489</v>
      </c>
      <c r="C875">
        <v>5</v>
      </c>
      <c r="D875" s="1">
        <v>55814.63</v>
      </c>
      <c r="E875" s="1">
        <v>0</v>
      </c>
      <c r="F875" s="1">
        <v>6799.54</v>
      </c>
      <c r="G875" s="1">
        <v>62614.17</v>
      </c>
    </row>
    <row r="876" spans="1:7" hidden="1" x14ac:dyDescent="0.2">
      <c r="A876">
        <v>726337</v>
      </c>
      <c r="B876" t="s">
        <v>490</v>
      </c>
      <c r="C876">
        <v>5</v>
      </c>
      <c r="D876" s="1">
        <v>155057.20000000001</v>
      </c>
      <c r="E876" s="1">
        <v>0</v>
      </c>
      <c r="F876" s="1">
        <v>0</v>
      </c>
      <c r="G876" s="1">
        <v>155057.20000000001</v>
      </c>
    </row>
    <row r="877" spans="1:7" hidden="1" x14ac:dyDescent="0.2">
      <c r="A877">
        <v>726340</v>
      </c>
      <c r="B877" t="s">
        <v>491</v>
      </c>
      <c r="C877">
        <v>5</v>
      </c>
      <c r="D877" s="1">
        <v>354695.59</v>
      </c>
      <c r="E877" s="1">
        <v>0</v>
      </c>
      <c r="F877" s="1">
        <v>31865.73</v>
      </c>
      <c r="G877" s="1">
        <v>386561.32</v>
      </c>
    </row>
    <row r="878" spans="1:7" hidden="1" x14ac:dyDescent="0.2">
      <c r="A878">
        <v>726345</v>
      </c>
      <c r="B878" t="s">
        <v>492</v>
      </c>
      <c r="C878">
        <v>5</v>
      </c>
      <c r="D878" s="1">
        <v>8978.0300000000007</v>
      </c>
      <c r="E878" s="1">
        <v>0</v>
      </c>
      <c r="F878" s="1">
        <v>0</v>
      </c>
      <c r="G878" s="1">
        <v>8978.0300000000007</v>
      </c>
    </row>
    <row r="879" spans="1:7" hidden="1" x14ac:dyDescent="0.2">
      <c r="A879">
        <v>726400</v>
      </c>
      <c r="B879" t="s">
        <v>493</v>
      </c>
      <c r="C879">
        <v>4</v>
      </c>
      <c r="D879" s="1">
        <v>2447698.04</v>
      </c>
      <c r="E879" s="1">
        <v>0.05</v>
      </c>
      <c r="F879" s="1">
        <v>315589.05</v>
      </c>
      <c r="G879" s="1">
        <v>2763287.04</v>
      </c>
    </row>
    <row r="880" spans="1:7" hidden="1" x14ac:dyDescent="0.2">
      <c r="A880">
        <v>726500</v>
      </c>
      <c r="B880" t="s">
        <v>875</v>
      </c>
      <c r="C880">
        <v>5</v>
      </c>
      <c r="D880" s="1">
        <v>1942102.53</v>
      </c>
      <c r="E880" s="1">
        <v>0</v>
      </c>
      <c r="F880" s="1">
        <v>260903.25</v>
      </c>
      <c r="G880" s="1">
        <v>2203005.7799999998</v>
      </c>
    </row>
    <row r="881" spans="1:7" hidden="1" x14ac:dyDescent="0.2">
      <c r="A881">
        <v>726510</v>
      </c>
      <c r="B881" t="s">
        <v>494</v>
      </c>
      <c r="C881">
        <v>5</v>
      </c>
      <c r="D881" s="1">
        <v>2951.86</v>
      </c>
      <c r="E881" s="1">
        <v>0</v>
      </c>
      <c r="F881" s="1">
        <v>1626.97</v>
      </c>
      <c r="G881" s="1">
        <v>4578.83</v>
      </c>
    </row>
    <row r="882" spans="1:7" hidden="1" x14ac:dyDescent="0.2">
      <c r="A882">
        <v>726540</v>
      </c>
      <c r="B882" t="s">
        <v>495</v>
      </c>
      <c r="C882">
        <v>5</v>
      </c>
      <c r="D882" s="1">
        <v>44914.45</v>
      </c>
      <c r="E882" s="1">
        <v>0.05</v>
      </c>
      <c r="F882" s="1">
        <v>3427.34</v>
      </c>
      <c r="G882" s="1">
        <v>48341.74</v>
      </c>
    </row>
    <row r="883" spans="1:7" hidden="1" x14ac:dyDescent="0.2">
      <c r="A883">
        <v>726550</v>
      </c>
      <c r="B883" t="s">
        <v>876</v>
      </c>
      <c r="C883">
        <v>5</v>
      </c>
      <c r="D883" s="1">
        <v>457729.2</v>
      </c>
      <c r="E883" s="1">
        <v>0</v>
      </c>
      <c r="F883" s="1">
        <v>49631.49</v>
      </c>
      <c r="G883" s="1">
        <v>507360.69</v>
      </c>
    </row>
    <row r="884" spans="1:7" hidden="1" x14ac:dyDescent="0.2">
      <c r="A884">
        <v>740500</v>
      </c>
      <c r="B884" t="s">
        <v>1177</v>
      </c>
      <c r="C884">
        <v>4</v>
      </c>
      <c r="D884" s="1">
        <v>11000</v>
      </c>
      <c r="E884" s="1">
        <v>0</v>
      </c>
      <c r="F884" s="1">
        <v>0</v>
      </c>
      <c r="G884" s="1">
        <v>11000</v>
      </c>
    </row>
    <row r="885" spans="1:7" hidden="1" x14ac:dyDescent="0.2">
      <c r="A885">
        <v>740510</v>
      </c>
      <c r="B885" t="s">
        <v>1178</v>
      </c>
      <c r="C885">
        <v>5</v>
      </c>
      <c r="D885" s="1">
        <v>11000</v>
      </c>
      <c r="E885" s="1">
        <v>0</v>
      </c>
      <c r="F885" s="1">
        <v>0</v>
      </c>
      <c r="G885" s="1">
        <v>11000</v>
      </c>
    </row>
    <row r="886" spans="1:7" hidden="1" x14ac:dyDescent="0.2">
      <c r="A886">
        <v>750000</v>
      </c>
      <c r="B886" t="s">
        <v>858</v>
      </c>
      <c r="C886">
        <v>3</v>
      </c>
      <c r="D886" s="1">
        <v>-12125.08</v>
      </c>
      <c r="E886" s="1">
        <v>9129.27</v>
      </c>
      <c r="F886" s="1">
        <v>0</v>
      </c>
      <c r="G886" s="1">
        <v>-21254.35</v>
      </c>
    </row>
    <row r="887" spans="1:7" hidden="1" x14ac:dyDescent="0.2">
      <c r="A887">
        <v>750010</v>
      </c>
      <c r="B887" t="s">
        <v>222</v>
      </c>
      <c r="C887">
        <v>4</v>
      </c>
      <c r="D887" s="1">
        <v>-12125.08</v>
      </c>
      <c r="E887" s="1">
        <v>9129.27</v>
      </c>
      <c r="F887" s="1">
        <v>0</v>
      </c>
      <c r="G887" s="1">
        <v>-21254.35</v>
      </c>
    </row>
    <row r="888" spans="1:7" hidden="1" x14ac:dyDescent="0.2">
      <c r="A888">
        <v>800000</v>
      </c>
      <c r="B888" t="s">
        <v>496</v>
      </c>
      <c r="C888">
        <v>2</v>
      </c>
      <c r="D888" s="1">
        <v>43616924.399999999</v>
      </c>
      <c r="E888" s="1">
        <v>7261089.4299999997</v>
      </c>
      <c r="F888" s="1">
        <v>4199717.72</v>
      </c>
      <c r="G888" s="1">
        <v>46678296.109999999</v>
      </c>
    </row>
    <row r="889" spans="1:7" hidden="1" x14ac:dyDescent="0.2">
      <c r="A889">
        <v>801000</v>
      </c>
      <c r="B889" t="s">
        <v>497</v>
      </c>
      <c r="C889">
        <v>3</v>
      </c>
      <c r="D889" s="1">
        <v>25048463.579999998</v>
      </c>
      <c r="E889" s="1">
        <v>3132660.89</v>
      </c>
      <c r="F889" s="1">
        <v>1026654.99</v>
      </c>
      <c r="G889" s="1">
        <v>27154469.48</v>
      </c>
    </row>
    <row r="890" spans="1:7" hidden="1" x14ac:dyDescent="0.2">
      <c r="A890">
        <v>803000</v>
      </c>
      <c r="B890" t="s">
        <v>498</v>
      </c>
      <c r="C890">
        <v>4</v>
      </c>
      <c r="D890" s="1">
        <v>1337028.98</v>
      </c>
      <c r="E890" s="1">
        <v>364286.71999999997</v>
      </c>
      <c r="F890" s="1">
        <v>190002.47</v>
      </c>
      <c r="G890" s="1">
        <v>1511313.23</v>
      </c>
    </row>
    <row r="891" spans="1:7" hidden="1" x14ac:dyDescent="0.2">
      <c r="A891">
        <v>803005</v>
      </c>
      <c r="B891" t="s">
        <v>443</v>
      </c>
      <c r="C891">
        <v>5</v>
      </c>
      <c r="D891" s="1">
        <v>879101.94</v>
      </c>
      <c r="E891" s="1">
        <v>110577.59</v>
      </c>
      <c r="F891" s="1">
        <v>0</v>
      </c>
      <c r="G891" s="1">
        <v>989679.53</v>
      </c>
    </row>
    <row r="892" spans="1:7" hidden="1" x14ac:dyDescent="0.2">
      <c r="A892">
        <v>803010</v>
      </c>
      <c r="B892" t="s">
        <v>444</v>
      </c>
      <c r="C892">
        <v>5</v>
      </c>
      <c r="D892" s="1">
        <v>19378.310000000001</v>
      </c>
      <c r="E892" s="1">
        <v>1544.93</v>
      </c>
      <c r="F892" s="1">
        <v>0</v>
      </c>
      <c r="G892" s="1">
        <v>20923.240000000002</v>
      </c>
    </row>
    <row r="893" spans="1:7" hidden="1" x14ac:dyDescent="0.2">
      <c r="A893">
        <v>803015</v>
      </c>
      <c r="B893" t="s">
        <v>445</v>
      </c>
      <c r="C893">
        <v>5</v>
      </c>
      <c r="D893" s="1">
        <v>145811.14000000001</v>
      </c>
      <c r="E893" s="1">
        <v>18331.22</v>
      </c>
      <c r="F893" s="1">
        <v>0</v>
      </c>
      <c r="G893" s="1">
        <v>164142.35999999999</v>
      </c>
    </row>
    <row r="894" spans="1:7" hidden="1" x14ac:dyDescent="0.2">
      <c r="A894">
        <v>803020</v>
      </c>
      <c r="B894" t="s">
        <v>446</v>
      </c>
      <c r="C894">
        <v>5</v>
      </c>
      <c r="D894" s="1">
        <v>61621.55</v>
      </c>
      <c r="E894" s="1">
        <v>17657.349999999999</v>
      </c>
      <c r="F894" s="1">
        <v>0</v>
      </c>
      <c r="G894" s="1">
        <v>79278.899999999994</v>
      </c>
    </row>
    <row r="895" spans="1:7" hidden="1" x14ac:dyDescent="0.2">
      <c r="A895">
        <v>803022</v>
      </c>
      <c r="B895" t="s">
        <v>499</v>
      </c>
      <c r="C895">
        <v>5</v>
      </c>
      <c r="D895" s="1">
        <v>0</v>
      </c>
      <c r="E895" s="1">
        <v>188744.13</v>
      </c>
      <c r="F895" s="1">
        <v>188744.13</v>
      </c>
      <c r="G895" s="1">
        <v>0</v>
      </c>
    </row>
    <row r="896" spans="1:7" hidden="1" x14ac:dyDescent="0.2">
      <c r="A896">
        <v>803025</v>
      </c>
      <c r="B896" t="s">
        <v>500</v>
      </c>
      <c r="C896">
        <v>5</v>
      </c>
      <c r="D896" s="1">
        <v>262464.77</v>
      </c>
      <c r="E896" s="1">
        <v>27431.5</v>
      </c>
      <c r="F896" s="1">
        <v>0</v>
      </c>
      <c r="G896" s="1">
        <v>289896.27</v>
      </c>
    </row>
    <row r="897" spans="1:7" hidden="1" x14ac:dyDescent="0.2">
      <c r="A897">
        <v>803102</v>
      </c>
      <c r="B897" t="s">
        <v>501</v>
      </c>
      <c r="C897">
        <v>5</v>
      </c>
      <c r="D897" s="1">
        <v>-5591.94</v>
      </c>
      <c r="E897" s="1">
        <v>0</v>
      </c>
      <c r="F897" s="1">
        <v>224.46</v>
      </c>
      <c r="G897" s="1">
        <v>-5816.4</v>
      </c>
    </row>
    <row r="898" spans="1:7" hidden="1" x14ac:dyDescent="0.2">
      <c r="A898">
        <v>803104</v>
      </c>
      <c r="B898" t="s">
        <v>502</v>
      </c>
      <c r="C898">
        <v>5</v>
      </c>
      <c r="D898" s="1">
        <v>-25756.79</v>
      </c>
      <c r="E898" s="1">
        <v>0</v>
      </c>
      <c r="F898" s="1">
        <v>1033.8800000000001</v>
      </c>
      <c r="G898" s="1">
        <v>-26790.67</v>
      </c>
    </row>
    <row r="899" spans="1:7" hidden="1" x14ac:dyDescent="0.2">
      <c r="A899">
        <v>808035</v>
      </c>
      <c r="B899" t="s">
        <v>503</v>
      </c>
      <c r="C899">
        <v>4</v>
      </c>
      <c r="D899" s="1">
        <v>23711434.600000001</v>
      </c>
      <c r="E899" s="1">
        <v>2768374.17</v>
      </c>
      <c r="F899" s="1">
        <v>836652.52</v>
      </c>
      <c r="G899" s="1">
        <v>25643156.25</v>
      </c>
    </row>
    <row r="900" spans="1:7" hidden="1" x14ac:dyDescent="0.2">
      <c r="A900">
        <v>809035</v>
      </c>
      <c r="B900" t="s">
        <v>504</v>
      </c>
      <c r="C900">
        <v>5</v>
      </c>
      <c r="D900" s="1">
        <v>6204567.1799999997</v>
      </c>
      <c r="E900" s="1">
        <v>407422.01</v>
      </c>
      <c r="F900" s="1">
        <v>48001.75</v>
      </c>
      <c r="G900" s="1">
        <v>6563987.4400000004</v>
      </c>
    </row>
    <row r="901" spans="1:7" hidden="1" x14ac:dyDescent="0.2">
      <c r="A901">
        <v>809040</v>
      </c>
      <c r="B901" t="s">
        <v>380</v>
      </c>
      <c r="C901">
        <v>6</v>
      </c>
      <c r="D901" s="1">
        <v>3217007.13</v>
      </c>
      <c r="E901" s="1">
        <v>251068.82</v>
      </c>
      <c r="F901" s="1">
        <v>0</v>
      </c>
      <c r="G901" s="1">
        <v>3468075.95</v>
      </c>
    </row>
    <row r="902" spans="1:7" hidden="1" x14ac:dyDescent="0.2">
      <c r="A902">
        <v>809045</v>
      </c>
      <c r="B902" t="s">
        <v>505</v>
      </c>
      <c r="C902">
        <v>6</v>
      </c>
      <c r="D902" s="1">
        <v>63513.91</v>
      </c>
      <c r="E902" s="1">
        <v>141.76</v>
      </c>
      <c r="F902" s="1">
        <v>4473.7299999999996</v>
      </c>
      <c r="G902" s="1">
        <v>59181.94</v>
      </c>
    </row>
    <row r="903" spans="1:7" hidden="1" x14ac:dyDescent="0.2">
      <c r="A903">
        <v>809047</v>
      </c>
      <c r="B903" t="s">
        <v>798</v>
      </c>
      <c r="C903">
        <v>6</v>
      </c>
      <c r="D903" s="1">
        <v>75168.2</v>
      </c>
      <c r="E903" s="1">
        <v>47148.33</v>
      </c>
      <c r="F903" s="1">
        <v>0</v>
      </c>
      <c r="G903" s="1">
        <v>122316.53</v>
      </c>
    </row>
    <row r="904" spans="1:7" hidden="1" x14ac:dyDescent="0.2">
      <c r="A904">
        <v>809050</v>
      </c>
      <c r="B904" t="s">
        <v>506</v>
      </c>
      <c r="C904">
        <v>6</v>
      </c>
      <c r="D904" s="1">
        <v>67224.820000000007</v>
      </c>
      <c r="E904" s="1">
        <v>4062.81</v>
      </c>
      <c r="F904" s="1">
        <v>0</v>
      </c>
      <c r="G904" s="1">
        <v>71287.63</v>
      </c>
    </row>
    <row r="905" spans="1:7" hidden="1" x14ac:dyDescent="0.2">
      <c r="A905">
        <v>809060</v>
      </c>
      <c r="B905" t="s">
        <v>507</v>
      </c>
      <c r="C905">
        <v>6</v>
      </c>
      <c r="D905" s="1">
        <v>9925.25</v>
      </c>
      <c r="E905" s="1">
        <v>652.07000000000005</v>
      </c>
      <c r="F905" s="1">
        <v>0</v>
      </c>
      <c r="G905" s="1">
        <v>10577.32</v>
      </c>
    </row>
    <row r="906" spans="1:7" hidden="1" x14ac:dyDescent="0.2">
      <c r="A906">
        <v>809070</v>
      </c>
      <c r="B906" t="s">
        <v>508</v>
      </c>
      <c r="C906">
        <v>6</v>
      </c>
      <c r="D906" s="1">
        <v>16793.099999999999</v>
      </c>
      <c r="E906" s="1">
        <v>1131.47</v>
      </c>
      <c r="F906" s="1">
        <v>0</v>
      </c>
      <c r="G906" s="1">
        <v>17924.57</v>
      </c>
    </row>
    <row r="907" spans="1:7" hidden="1" x14ac:dyDescent="0.2">
      <c r="A907">
        <v>809075</v>
      </c>
      <c r="B907" t="s">
        <v>509</v>
      </c>
      <c r="C907">
        <v>6</v>
      </c>
      <c r="D907" s="1">
        <v>0</v>
      </c>
      <c r="E907" s="1">
        <v>5780</v>
      </c>
      <c r="F907" s="1">
        <v>5780</v>
      </c>
      <c r="G907" s="1">
        <v>0</v>
      </c>
    </row>
    <row r="908" spans="1:7" hidden="1" x14ac:dyDescent="0.2">
      <c r="A908">
        <v>809085</v>
      </c>
      <c r="B908" t="s">
        <v>510</v>
      </c>
      <c r="C908">
        <v>6</v>
      </c>
      <c r="D908" s="1">
        <v>13860.81</v>
      </c>
      <c r="E908" s="1">
        <v>1170.76</v>
      </c>
      <c r="F908" s="1">
        <v>0</v>
      </c>
      <c r="G908" s="1">
        <v>15031.57</v>
      </c>
    </row>
    <row r="909" spans="1:7" hidden="1" x14ac:dyDescent="0.2">
      <c r="A909">
        <v>809090</v>
      </c>
      <c r="B909" t="s">
        <v>658</v>
      </c>
      <c r="C909">
        <v>6</v>
      </c>
      <c r="D909" s="1">
        <v>478</v>
      </c>
      <c r="E909" s="1">
        <v>0</v>
      </c>
      <c r="F909" s="1">
        <v>0</v>
      </c>
      <c r="G909" s="1">
        <v>478</v>
      </c>
    </row>
    <row r="910" spans="1:7" hidden="1" x14ac:dyDescent="0.2">
      <c r="A910">
        <v>809100</v>
      </c>
      <c r="B910" t="s">
        <v>511</v>
      </c>
      <c r="C910">
        <v>6</v>
      </c>
      <c r="D910" s="1">
        <v>110050.78</v>
      </c>
      <c r="E910" s="1">
        <v>8135.32</v>
      </c>
      <c r="F910" s="1">
        <v>0</v>
      </c>
      <c r="G910" s="1">
        <v>118186.1</v>
      </c>
    </row>
    <row r="911" spans="1:7" hidden="1" x14ac:dyDescent="0.2">
      <c r="A911">
        <v>809110</v>
      </c>
      <c r="B911" t="s">
        <v>512</v>
      </c>
      <c r="C911">
        <v>6</v>
      </c>
      <c r="D911" s="1">
        <v>596215.67000000004</v>
      </c>
      <c r="E911" s="1">
        <v>36454.639999999999</v>
      </c>
      <c r="F911" s="1">
        <v>37748.019999999997</v>
      </c>
      <c r="G911" s="1">
        <v>594922.29</v>
      </c>
    </row>
    <row r="912" spans="1:7" hidden="1" x14ac:dyDescent="0.2">
      <c r="A912">
        <v>809135</v>
      </c>
      <c r="B912" t="s">
        <v>513</v>
      </c>
      <c r="C912">
        <v>6</v>
      </c>
      <c r="D912" s="1">
        <v>357086.03</v>
      </c>
      <c r="E912" s="1">
        <v>27420.36</v>
      </c>
      <c r="F912" s="1">
        <v>0</v>
      </c>
      <c r="G912" s="1">
        <v>384506.39</v>
      </c>
    </row>
    <row r="913" spans="1:7" hidden="1" x14ac:dyDescent="0.2">
      <c r="A913">
        <v>809145</v>
      </c>
      <c r="B913" t="s">
        <v>836</v>
      </c>
      <c r="C913">
        <v>6</v>
      </c>
      <c r="D913" s="1">
        <v>1935.46</v>
      </c>
      <c r="E913" s="1">
        <v>0</v>
      </c>
      <c r="F913" s="1">
        <v>0</v>
      </c>
      <c r="G913" s="1">
        <v>1935.46</v>
      </c>
    </row>
    <row r="914" spans="1:7" hidden="1" x14ac:dyDescent="0.2">
      <c r="A914">
        <v>809150</v>
      </c>
      <c r="B914" t="s">
        <v>514</v>
      </c>
      <c r="C914">
        <v>6</v>
      </c>
      <c r="D914" s="1">
        <v>586541.68000000005</v>
      </c>
      <c r="E914" s="1">
        <v>0</v>
      </c>
      <c r="F914" s="1">
        <v>0</v>
      </c>
      <c r="G914" s="1">
        <v>586541.68000000005</v>
      </c>
    </row>
    <row r="915" spans="1:7" hidden="1" x14ac:dyDescent="0.2">
      <c r="A915">
        <v>809155</v>
      </c>
      <c r="B915" t="s">
        <v>515</v>
      </c>
      <c r="C915">
        <v>6</v>
      </c>
      <c r="D915" s="1">
        <v>620123.73</v>
      </c>
      <c r="E915" s="1">
        <v>0</v>
      </c>
      <c r="F915" s="1">
        <v>0</v>
      </c>
      <c r="G915" s="1">
        <v>620123.73</v>
      </c>
    </row>
    <row r="916" spans="1:7" hidden="1" x14ac:dyDescent="0.2">
      <c r="A916">
        <v>809165</v>
      </c>
      <c r="B916" t="s">
        <v>516</v>
      </c>
      <c r="C916">
        <v>6</v>
      </c>
      <c r="D916" s="1">
        <v>468642.61</v>
      </c>
      <c r="E916" s="1">
        <v>24255.67</v>
      </c>
      <c r="F916" s="1">
        <v>0</v>
      </c>
      <c r="G916" s="1">
        <v>492898.28</v>
      </c>
    </row>
    <row r="917" spans="1:7" hidden="1" x14ac:dyDescent="0.2">
      <c r="A917">
        <v>810180</v>
      </c>
      <c r="B917" t="s">
        <v>517</v>
      </c>
      <c r="C917">
        <v>5</v>
      </c>
      <c r="D917" s="1">
        <v>2229729.94</v>
      </c>
      <c r="E917" s="1">
        <v>135977.82</v>
      </c>
      <c r="F917" s="1">
        <v>13474.09</v>
      </c>
      <c r="G917" s="1">
        <v>2352233.67</v>
      </c>
    </row>
    <row r="918" spans="1:7" hidden="1" x14ac:dyDescent="0.2">
      <c r="A918">
        <v>810190</v>
      </c>
      <c r="B918" t="s">
        <v>518</v>
      </c>
      <c r="C918">
        <v>6</v>
      </c>
      <c r="D918" s="1">
        <v>1040816.4</v>
      </c>
      <c r="E918" s="1">
        <v>99209.34</v>
      </c>
      <c r="F918" s="1">
        <v>10454.24</v>
      </c>
      <c r="G918" s="1">
        <v>1129571.5</v>
      </c>
    </row>
    <row r="919" spans="1:7" hidden="1" x14ac:dyDescent="0.2">
      <c r="A919">
        <v>810195</v>
      </c>
      <c r="B919" t="s">
        <v>519</v>
      </c>
      <c r="C919">
        <v>6</v>
      </c>
      <c r="D919" s="1">
        <v>364163.79</v>
      </c>
      <c r="E919" s="1">
        <v>30741.16</v>
      </c>
      <c r="F919" s="1">
        <v>3019.85</v>
      </c>
      <c r="G919" s="1">
        <v>391885.1</v>
      </c>
    </row>
    <row r="920" spans="1:7" hidden="1" x14ac:dyDescent="0.2">
      <c r="A920">
        <v>810197</v>
      </c>
      <c r="B920" t="s">
        <v>520</v>
      </c>
      <c r="C920">
        <v>6</v>
      </c>
      <c r="D920" s="1">
        <v>758329.84</v>
      </c>
      <c r="E920" s="1">
        <v>0</v>
      </c>
      <c r="F920" s="1">
        <v>0</v>
      </c>
      <c r="G920" s="1">
        <v>758329.84</v>
      </c>
    </row>
    <row r="921" spans="1:7" hidden="1" x14ac:dyDescent="0.2">
      <c r="A921">
        <v>810200</v>
      </c>
      <c r="B921" t="s">
        <v>521</v>
      </c>
      <c r="C921">
        <v>6</v>
      </c>
      <c r="D921" s="1">
        <v>66419.91</v>
      </c>
      <c r="E921" s="1">
        <v>6027.32</v>
      </c>
      <c r="F921" s="1">
        <v>0</v>
      </c>
      <c r="G921" s="1">
        <v>72447.23</v>
      </c>
    </row>
    <row r="922" spans="1:7" hidden="1" x14ac:dyDescent="0.2">
      <c r="A922">
        <v>811210</v>
      </c>
      <c r="B922" t="s">
        <v>523</v>
      </c>
      <c r="C922">
        <v>5</v>
      </c>
      <c r="D922" s="1">
        <v>260522.54</v>
      </c>
      <c r="E922" s="1">
        <v>65317.14</v>
      </c>
      <c r="F922" s="1">
        <v>781.03</v>
      </c>
      <c r="G922" s="1">
        <v>325058.65000000002</v>
      </c>
    </row>
    <row r="923" spans="1:7" hidden="1" x14ac:dyDescent="0.2">
      <c r="A923">
        <v>812210</v>
      </c>
      <c r="B923" t="s">
        <v>524</v>
      </c>
      <c r="C923">
        <v>5</v>
      </c>
      <c r="D923" s="1">
        <v>2861241.87</v>
      </c>
      <c r="E923" s="1">
        <v>344063.32</v>
      </c>
      <c r="F923" s="1">
        <v>17744.490000000002</v>
      </c>
      <c r="G923" s="1">
        <v>3187560.7</v>
      </c>
    </row>
    <row r="924" spans="1:7" hidden="1" x14ac:dyDescent="0.2">
      <c r="A924">
        <v>812215</v>
      </c>
      <c r="B924" t="s">
        <v>525</v>
      </c>
      <c r="C924">
        <v>6</v>
      </c>
      <c r="D924" s="1">
        <v>8627.8799999999992</v>
      </c>
      <c r="E924" s="1">
        <v>340.84</v>
      </c>
      <c r="F924" s="1">
        <v>0</v>
      </c>
      <c r="G924" s="1">
        <v>8968.7199999999993</v>
      </c>
    </row>
    <row r="925" spans="1:7" hidden="1" x14ac:dyDescent="0.2">
      <c r="A925">
        <v>812220</v>
      </c>
      <c r="B925" t="s">
        <v>526</v>
      </c>
      <c r="C925">
        <v>6</v>
      </c>
      <c r="D925" s="1">
        <v>12032.85</v>
      </c>
      <c r="E925" s="1">
        <v>10685.93</v>
      </c>
      <c r="F925" s="1">
        <v>1199.8800000000001</v>
      </c>
      <c r="G925" s="1">
        <v>21518.9</v>
      </c>
    </row>
    <row r="926" spans="1:7" hidden="1" x14ac:dyDescent="0.2">
      <c r="A926">
        <v>812225</v>
      </c>
      <c r="B926" t="s">
        <v>527</v>
      </c>
      <c r="C926">
        <v>6</v>
      </c>
      <c r="D926" s="1">
        <v>15951.39</v>
      </c>
      <c r="E926" s="1">
        <v>1412.87</v>
      </c>
      <c r="F926" s="1">
        <v>146.43</v>
      </c>
      <c r="G926" s="1">
        <v>17217.830000000002</v>
      </c>
    </row>
    <row r="927" spans="1:7" hidden="1" x14ac:dyDescent="0.2">
      <c r="A927">
        <v>812230</v>
      </c>
      <c r="B927" t="s">
        <v>528</v>
      </c>
      <c r="C927">
        <v>6</v>
      </c>
      <c r="D927" s="1">
        <v>193164.86</v>
      </c>
      <c r="E927" s="1">
        <v>11593.82</v>
      </c>
      <c r="F927" s="1">
        <v>1340.35</v>
      </c>
      <c r="G927" s="1">
        <v>203418.33</v>
      </c>
    </row>
    <row r="928" spans="1:7" hidden="1" x14ac:dyDescent="0.2">
      <c r="A928">
        <v>812235</v>
      </c>
      <c r="B928" t="s">
        <v>529</v>
      </c>
      <c r="C928">
        <v>6</v>
      </c>
      <c r="D928" s="1">
        <v>101538.36</v>
      </c>
      <c r="E928" s="1">
        <v>21844.23</v>
      </c>
      <c r="F928" s="1">
        <v>791.39</v>
      </c>
      <c r="G928" s="1">
        <v>122591.2</v>
      </c>
    </row>
    <row r="929" spans="1:7" hidden="1" x14ac:dyDescent="0.2">
      <c r="A929">
        <v>812240</v>
      </c>
      <c r="B929" t="s">
        <v>530</v>
      </c>
      <c r="C929">
        <v>6</v>
      </c>
      <c r="D929" s="1">
        <v>49871.63</v>
      </c>
      <c r="E929" s="1">
        <v>1734.01</v>
      </c>
      <c r="F929" s="1">
        <v>0</v>
      </c>
      <c r="G929" s="1">
        <v>51605.64</v>
      </c>
    </row>
    <row r="930" spans="1:7" hidden="1" x14ac:dyDescent="0.2">
      <c r="A930">
        <v>812242</v>
      </c>
      <c r="B930" t="s">
        <v>837</v>
      </c>
      <c r="C930">
        <v>6</v>
      </c>
      <c r="D930" s="1">
        <v>174.3</v>
      </c>
      <c r="E930" s="1">
        <v>0</v>
      </c>
      <c r="F930" s="1">
        <v>0</v>
      </c>
      <c r="G930" s="1">
        <v>174.3</v>
      </c>
    </row>
    <row r="931" spans="1:7" hidden="1" x14ac:dyDescent="0.2">
      <c r="A931">
        <v>812255</v>
      </c>
      <c r="B931" t="s">
        <v>819</v>
      </c>
      <c r="C931">
        <v>6</v>
      </c>
      <c r="D931" s="1">
        <v>159.96</v>
      </c>
      <c r="E931" s="1">
        <v>0</v>
      </c>
      <c r="F931" s="1">
        <v>0</v>
      </c>
      <c r="G931" s="1">
        <v>159.96</v>
      </c>
    </row>
    <row r="932" spans="1:7" hidden="1" x14ac:dyDescent="0.2">
      <c r="A932">
        <v>812265</v>
      </c>
      <c r="B932" t="s">
        <v>246</v>
      </c>
      <c r="C932">
        <v>6</v>
      </c>
      <c r="D932" s="1">
        <v>154095.35</v>
      </c>
      <c r="E932" s="1">
        <v>39543.18</v>
      </c>
      <c r="F932" s="1">
        <v>2748.58</v>
      </c>
      <c r="G932" s="1">
        <v>190889.95</v>
      </c>
    </row>
    <row r="933" spans="1:7" hidden="1" x14ac:dyDescent="0.2">
      <c r="A933">
        <v>812267</v>
      </c>
      <c r="B933" t="s">
        <v>531</v>
      </c>
      <c r="C933">
        <v>6</v>
      </c>
      <c r="D933" s="1">
        <v>4698.87</v>
      </c>
      <c r="E933" s="1">
        <v>0</v>
      </c>
      <c r="F933" s="1">
        <v>0</v>
      </c>
      <c r="G933" s="1">
        <v>4698.87</v>
      </c>
    </row>
    <row r="934" spans="1:7" hidden="1" x14ac:dyDescent="0.2">
      <c r="A934">
        <v>812275</v>
      </c>
      <c r="B934" t="s">
        <v>532</v>
      </c>
      <c r="C934">
        <v>6</v>
      </c>
      <c r="D934" s="1">
        <v>1099.1600000000001</v>
      </c>
      <c r="E934" s="1">
        <v>0</v>
      </c>
      <c r="F934" s="1">
        <v>0</v>
      </c>
      <c r="G934" s="1">
        <v>1099.1600000000001</v>
      </c>
    </row>
    <row r="935" spans="1:7" hidden="1" x14ac:dyDescent="0.2">
      <c r="A935">
        <v>812280</v>
      </c>
      <c r="B935" t="s">
        <v>533</v>
      </c>
      <c r="C935">
        <v>6</v>
      </c>
      <c r="D935" s="1">
        <v>156.1</v>
      </c>
      <c r="E935" s="1">
        <v>0</v>
      </c>
      <c r="F935" s="1">
        <v>0</v>
      </c>
      <c r="G935" s="1">
        <v>156.1</v>
      </c>
    </row>
    <row r="936" spans="1:7" hidden="1" x14ac:dyDescent="0.2">
      <c r="A936">
        <v>812290</v>
      </c>
      <c r="B936" t="s">
        <v>534</v>
      </c>
      <c r="C936">
        <v>6</v>
      </c>
      <c r="D936" s="1">
        <v>564826.43999999994</v>
      </c>
      <c r="E936" s="1">
        <v>65479.55</v>
      </c>
      <c r="F936" s="1">
        <v>578.79999999999995</v>
      </c>
      <c r="G936" s="1">
        <v>629727.18999999994</v>
      </c>
    </row>
    <row r="937" spans="1:7" hidden="1" x14ac:dyDescent="0.2">
      <c r="A937">
        <v>812295</v>
      </c>
      <c r="B937" t="s">
        <v>535</v>
      </c>
      <c r="C937">
        <v>6</v>
      </c>
      <c r="D937" s="1">
        <v>1611212.3</v>
      </c>
      <c r="E937" s="1">
        <v>172901.97</v>
      </c>
      <c r="F937" s="1">
        <v>1184.8699999999999</v>
      </c>
      <c r="G937" s="1">
        <v>1782929.4</v>
      </c>
    </row>
    <row r="938" spans="1:7" hidden="1" x14ac:dyDescent="0.2">
      <c r="A938">
        <v>812300</v>
      </c>
      <c r="B938" t="s">
        <v>536</v>
      </c>
      <c r="C938">
        <v>6</v>
      </c>
      <c r="D938" s="1">
        <v>167761.10999999999</v>
      </c>
      <c r="E938" s="1">
        <v>17384.13</v>
      </c>
      <c r="F938" s="1">
        <v>103.23</v>
      </c>
      <c r="G938" s="1">
        <v>185042.01</v>
      </c>
    </row>
    <row r="939" spans="1:7" hidden="1" x14ac:dyDescent="0.2">
      <c r="A939">
        <v>812305</v>
      </c>
      <c r="B939" t="s">
        <v>537</v>
      </c>
      <c r="C939">
        <v>6</v>
      </c>
      <c r="D939" s="1">
        <v>1189.0999999999999</v>
      </c>
      <c r="E939" s="1">
        <v>138.88</v>
      </c>
      <c r="F939" s="1">
        <v>0</v>
      </c>
      <c r="G939" s="1">
        <v>1327.98</v>
      </c>
    </row>
    <row r="940" spans="1:7" hidden="1" x14ac:dyDescent="0.2">
      <c r="A940">
        <v>812311</v>
      </c>
      <c r="B940" t="s">
        <v>538</v>
      </c>
      <c r="C940">
        <v>6</v>
      </c>
      <c r="D940" s="1">
        <v>11961.45</v>
      </c>
      <c r="E940" s="1">
        <v>1003.91</v>
      </c>
      <c r="F940" s="1">
        <v>0</v>
      </c>
      <c r="G940" s="1">
        <v>12965.36</v>
      </c>
    </row>
    <row r="941" spans="1:7" hidden="1" x14ac:dyDescent="0.2">
      <c r="A941">
        <v>812315</v>
      </c>
      <c r="B941" t="s">
        <v>539</v>
      </c>
      <c r="C941">
        <v>6</v>
      </c>
      <c r="D941" s="1">
        <v>1915.31</v>
      </c>
      <c r="E941" s="1">
        <v>0</v>
      </c>
      <c r="F941" s="1">
        <v>0</v>
      </c>
      <c r="G941" s="1">
        <v>1915.31</v>
      </c>
    </row>
    <row r="942" spans="1:7" hidden="1" x14ac:dyDescent="0.2">
      <c r="A942">
        <v>812330</v>
      </c>
      <c r="B942" t="s">
        <v>540</v>
      </c>
      <c r="C942">
        <v>6</v>
      </c>
      <c r="D942" s="1">
        <v>104398.93</v>
      </c>
      <c r="E942" s="1">
        <v>0</v>
      </c>
      <c r="F942" s="1">
        <v>0</v>
      </c>
      <c r="G942" s="1">
        <v>104398.93</v>
      </c>
    </row>
    <row r="943" spans="1:7" hidden="1" x14ac:dyDescent="0.2">
      <c r="A943">
        <v>812502</v>
      </c>
      <c r="B943" t="s">
        <v>501</v>
      </c>
      <c r="C943">
        <v>6</v>
      </c>
      <c r="D943" s="1">
        <v>-25613.98</v>
      </c>
      <c r="E943" s="1">
        <v>0</v>
      </c>
      <c r="F943" s="1">
        <v>1721.52</v>
      </c>
      <c r="G943" s="1">
        <v>-27335.5</v>
      </c>
    </row>
    <row r="944" spans="1:7" hidden="1" x14ac:dyDescent="0.2">
      <c r="A944">
        <v>812504</v>
      </c>
      <c r="B944" t="s">
        <v>502</v>
      </c>
      <c r="C944">
        <v>6</v>
      </c>
      <c r="D944" s="1">
        <v>-117979.5</v>
      </c>
      <c r="E944" s="1">
        <v>0</v>
      </c>
      <c r="F944" s="1">
        <v>7929.44</v>
      </c>
      <c r="G944" s="1">
        <v>-125908.94</v>
      </c>
    </row>
    <row r="945" spans="1:7" hidden="1" x14ac:dyDescent="0.2">
      <c r="A945">
        <v>813345</v>
      </c>
      <c r="B945" t="s">
        <v>541</v>
      </c>
      <c r="C945">
        <v>5</v>
      </c>
      <c r="D945" s="1">
        <v>1063517.18</v>
      </c>
      <c r="E945" s="1">
        <v>148751.95000000001</v>
      </c>
      <c r="F945" s="1">
        <v>33673.019999999997</v>
      </c>
      <c r="G945" s="1">
        <v>1178596.1100000001</v>
      </c>
    </row>
    <row r="946" spans="1:7" hidden="1" x14ac:dyDescent="0.2">
      <c r="A946">
        <v>813380</v>
      </c>
      <c r="B946" t="s">
        <v>942</v>
      </c>
      <c r="C946">
        <v>6</v>
      </c>
      <c r="D946" s="1">
        <v>1400</v>
      </c>
      <c r="E946" s="1">
        <v>0</v>
      </c>
      <c r="F946" s="1">
        <v>0</v>
      </c>
      <c r="G946" s="1">
        <v>1400</v>
      </c>
    </row>
    <row r="947" spans="1:7" hidden="1" x14ac:dyDescent="0.2">
      <c r="A947">
        <v>813390</v>
      </c>
      <c r="B947" t="s">
        <v>1179</v>
      </c>
      <c r="C947">
        <v>6</v>
      </c>
      <c r="D947" s="1">
        <v>4500</v>
      </c>
      <c r="E947" s="1">
        <v>3750</v>
      </c>
      <c r="F947" s="1">
        <v>0</v>
      </c>
      <c r="G947" s="1">
        <v>8250</v>
      </c>
    </row>
    <row r="948" spans="1:7" hidden="1" x14ac:dyDescent="0.2">
      <c r="A948">
        <v>813405</v>
      </c>
      <c r="B948" t="s">
        <v>542</v>
      </c>
      <c r="C948">
        <v>6</v>
      </c>
      <c r="D948" s="1">
        <v>2374</v>
      </c>
      <c r="E948" s="1">
        <v>740</v>
      </c>
      <c r="F948" s="1">
        <v>0</v>
      </c>
      <c r="G948" s="1">
        <v>3114</v>
      </c>
    </row>
    <row r="949" spans="1:7" hidden="1" x14ac:dyDescent="0.2">
      <c r="A949">
        <v>813410</v>
      </c>
      <c r="B949" t="s">
        <v>543</v>
      </c>
      <c r="C949">
        <v>6</v>
      </c>
      <c r="D949" s="1">
        <v>230538.62</v>
      </c>
      <c r="E949" s="1">
        <v>23226.81</v>
      </c>
      <c r="F949" s="1">
        <v>0</v>
      </c>
      <c r="G949" s="1">
        <v>253765.43</v>
      </c>
    </row>
    <row r="950" spans="1:7" hidden="1" x14ac:dyDescent="0.2">
      <c r="A950">
        <v>813414</v>
      </c>
      <c r="B950" t="s">
        <v>544</v>
      </c>
      <c r="C950">
        <v>6</v>
      </c>
      <c r="D950" s="1">
        <v>1530</v>
      </c>
      <c r="E950" s="1">
        <v>0</v>
      </c>
      <c r="F950" s="1">
        <v>0</v>
      </c>
      <c r="G950" s="1">
        <v>1530</v>
      </c>
    </row>
    <row r="951" spans="1:7" hidden="1" x14ac:dyDescent="0.2">
      <c r="A951">
        <v>813415</v>
      </c>
      <c r="B951" t="s">
        <v>545</v>
      </c>
      <c r="C951">
        <v>6</v>
      </c>
      <c r="D951" s="1">
        <v>65589.08</v>
      </c>
      <c r="E951" s="1">
        <v>6108.23</v>
      </c>
      <c r="F951" s="1">
        <v>0</v>
      </c>
      <c r="G951" s="1">
        <v>71697.31</v>
      </c>
    </row>
    <row r="952" spans="1:7" hidden="1" x14ac:dyDescent="0.2">
      <c r="A952">
        <v>813440</v>
      </c>
      <c r="B952" t="s">
        <v>547</v>
      </c>
      <c r="C952">
        <v>6</v>
      </c>
      <c r="D952" s="1">
        <v>6450</v>
      </c>
      <c r="E952" s="1">
        <v>2500</v>
      </c>
      <c r="F952" s="1">
        <v>0</v>
      </c>
      <c r="G952" s="1">
        <v>8950</v>
      </c>
    </row>
    <row r="953" spans="1:7" hidden="1" x14ac:dyDescent="0.2">
      <c r="A953">
        <v>813443</v>
      </c>
      <c r="B953" t="s">
        <v>838</v>
      </c>
      <c r="C953">
        <v>6</v>
      </c>
      <c r="D953" s="1">
        <v>5040.03</v>
      </c>
      <c r="E953" s="1">
        <v>10250</v>
      </c>
      <c r="F953" s="1">
        <v>0</v>
      </c>
      <c r="G953" s="1">
        <v>15290.03</v>
      </c>
    </row>
    <row r="954" spans="1:7" hidden="1" x14ac:dyDescent="0.2">
      <c r="A954">
        <v>813446</v>
      </c>
      <c r="B954" t="s">
        <v>629</v>
      </c>
      <c r="C954">
        <v>6</v>
      </c>
      <c r="D954" s="1">
        <v>0</v>
      </c>
      <c r="E954" s="1">
        <v>4954.46</v>
      </c>
      <c r="F954" s="1">
        <v>0</v>
      </c>
      <c r="G954" s="1">
        <v>4954.46</v>
      </c>
    </row>
    <row r="955" spans="1:7" hidden="1" x14ac:dyDescent="0.2">
      <c r="A955">
        <v>813447</v>
      </c>
      <c r="B955" t="s">
        <v>1180</v>
      </c>
      <c r="C955">
        <v>6</v>
      </c>
      <c r="D955" s="1">
        <v>6960</v>
      </c>
      <c r="E955" s="1">
        <v>0</v>
      </c>
      <c r="F955" s="1">
        <v>0</v>
      </c>
      <c r="G955" s="1">
        <v>6960</v>
      </c>
    </row>
    <row r="956" spans="1:7" hidden="1" x14ac:dyDescent="0.2">
      <c r="A956">
        <v>813450</v>
      </c>
      <c r="B956" t="s">
        <v>548</v>
      </c>
      <c r="C956">
        <v>6</v>
      </c>
      <c r="D956" s="1">
        <v>15200</v>
      </c>
      <c r="E956" s="1">
        <v>0</v>
      </c>
      <c r="F956" s="1">
        <v>0</v>
      </c>
      <c r="G956" s="1">
        <v>15200</v>
      </c>
    </row>
    <row r="957" spans="1:7" hidden="1" x14ac:dyDescent="0.2">
      <c r="A957">
        <v>813455</v>
      </c>
      <c r="B957" t="s">
        <v>549</v>
      </c>
      <c r="C957">
        <v>6</v>
      </c>
      <c r="D957" s="1">
        <v>5804.05</v>
      </c>
      <c r="E957" s="1">
        <v>0</v>
      </c>
      <c r="F957" s="1">
        <v>0</v>
      </c>
      <c r="G957" s="1">
        <v>5804.05</v>
      </c>
    </row>
    <row r="958" spans="1:7" hidden="1" x14ac:dyDescent="0.2">
      <c r="A958">
        <v>813470</v>
      </c>
      <c r="B958" t="s">
        <v>861</v>
      </c>
      <c r="C958">
        <v>6</v>
      </c>
      <c r="D958" s="1">
        <v>720.6</v>
      </c>
      <c r="E958" s="1">
        <v>0</v>
      </c>
      <c r="F958" s="1">
        <v>0</v>
      </c>
      <c r="G958" s="1">
        <v>720.6</v>
      </c>
    </row>
    <row r="959" spans="1:7" hidden="1" x14ac:dyDescent="0.2">
      <c r="A959">
        <v>813476</v>
      </c>
      <c r="B959" t="s">
        <v>550</v>
      </c>
      <c r="C959">
        <v>6</v>
      </c>
      <c r="D959" s="1">
        <v>87650.51</v>
      </c>
      <c r="E959" s="1">
        <v>7434.83</v>
      </c>
      <c r="F959" s="1">
        <v>0</v>
      </c>
      <c r="G959" s="1">
        <v>95085.34</v>
      </c>
    </row>
    <row r="960" spans="1:7" hidden="1" x14ac:dyDescent="0.2">
      <c r="A960">
        <v>813480</v>
      </c>
      <c r="B960" t="s">
        <v>551</v>
      </c>
      <c r="C960">
        <v>6</v>
      </c>
      <c r="D960" s="1">
        <v>53412.59</v>
      </c>
      <c r="E960" s="1">
        <v>11195.14</v>
      </c>
      <c r="F960" s="1">
        <v>0</v>
      </c>
      <c r="G960" s="1">
        <v>64607.73</v>
      </c>
    </row>
    <row r="961" spans="1:7" hidden="1" x14ac:dyDescent="0.2">
      <c r="A961">
        <v>813500</v>
      </c>
      <c r="B961" t="s">
        <v>839</v>
      </c>
      <c r="C961">
        <v>6</v>
      </c>
      <c r="D961" s="1">
        <v>16100</v>
      </c>
      <c r="E961" s="1">
        <v>3000</v>
      </c>
      <c r="F961" s="1">
        <v>0</v>
      </c>
      <c r="G961" s="1">
        <v>19100</v>
      </c>
    </row>
    <row r="962" spans="1:7" hidden="1" x14ac:dyDescent="0.2">
      <c r="A962">
        <v>813504</v>
      </c>
      <c r="B962" t="s">
        <v>1033</v>
      </c>
      <c r="C962">
        <v>6</v>
      </c>
      <c r="D962" s="1">
        <v>4155.2</v>
      </c>
      <c r="E962" s="1">
        <v>0</v>
      </c>
      <c r="F962" s="1">
        <v>0</v>
      </c>
      <c r="G962" s="1">
        <v>4155.2</v>
      </c>
    </row>
    <row r="963" spans="1:7" hidden="1" x14ac:dyDescent="0.2">
      <c r="A963">
        <v>813513</v>
      </c>
      <c r="B963" t="s">
        <v>552</v>
      </c>
      <c r="C963">
        <v>6</v>
      </c>
      <c r="D963" s="1">
        <v>584418.59</v>
      </c>
      <c r="E963" s="1">
        <v>73874.48</v>
      </c>
      <c r="F963" s="1">
        <v>28203.4</v>
      </c>
      <c r="G963" s="1">
        <v>630089.67000000004</v>
      </c>
    </row>
    <row r="964" spans="1:7" hidden="1" x14ac:dyDescent="0.2">
      <c r="A964">
        <v>813545</v>
      </c>
      <c r="B964" t="s">
        <v>633</v>
      </c>
      <c r="C964">
        <v>6</v>
      </c>
      <c r="D964" s="1">
        <v>2110</v>
      </c>
      <c r="E964" s="1">
        <v>0</v>
      </c>
      <c r="F964" s="1">
        <v>0</v>
      </c>
      <c r="G964" s="1">
        <v>2110</v>
      </c>
    </row>
    <row r="965" spans="1:7" hidden="1" x14ac:dyDescent="0.2">
      <c r="A965">
        <v>813553</v>
      </c>
      <c r="B965" t="s">
        <v>1108</v>
      </c>
      <c r="C965">
        <v>6</v>
      </c>
      <c r="D965" s="1">
        <v>12720</v>
      </c>
      <c r="E965" s="1">
        <v>1668</v>
      </c>
      <c r="F965" s="1">
        <v>0</v>
      </c>
      <c r="G965" s="1">
        <v>14388</v>
      </c>
    </row>
    <row r="966" spans="1:7" hidden="1" x14ac:dyDescent="0.2">
      <c r="A966">
        <v>813558</v>
      </c>
      <c r="B966" t="s">
        <v>840</v>
      </c>
      <c r="C966">
        <v>6</v>
      </c>
      <c r="D966" s="1">
        <v>1840</v>
      </c>
      <c r="E966" s="1">
        <v>0</v>
      </c>
      <c r="F966" s="1">
        <v>0</v>
      </c>
      <c r="G966" s="1">
        <v>1840</v>
      </c>
    </row>
    <row r="967" spans="1:7" hidden="1" x14ac:dyDescent="0.2">
      <c r="A967">
        <v>813565</v>
      </c>
      <c r="B967" t="s">
        <v>841</v>
      </c>
      <c r="C967">
        <v>6</v>
      </c>
      <c r="D967" s="1">
        <v>1500</v>
      </c>
      <c r="E967" s="1">
        <v>50</v>
      </c>
      <c r="F967" s="1">
        <v>0</v>
      </c>
      <c r="G967" s="1">
        <v>1550</v>
      </c>
    </row>
    <row r="968" spans="1:7" hidden="1" x14ac:dyDescent="0.2">
      <c r="A968">
        <v>813702</v>
      </c>
      <c r="B968" t="s">
        <v>501</v>
      </c>
      <c r="C968">
        <v>6</v>
      </c>
      <c r="D968" s="1">
        <v>-8295.98</v>
      </c>
      <c r="E968" s="1">
        <v>0</v>
      </c>
      <c r="F968" s="1">
        <v>975.65</v>
      </c>
      <c r="G968" s="1">
        <v>-9271.6299999999992</v>
      </c>
    </row>
    <row r="969" spans="1:7" hidden="1" x14ac:dyDescent="0.2">
      <c r="A969">
        <v>813704</v>
      </c>
      <c r="B969" t="s">
        <v>502</v>
      </c>
      <c r="C969">
        <v>6</v>
      </c>
      <c r="D969" s="1">
        <v>-38200.11</v>
      </c>
      <c r="E969" s="1">
        <v>0</v>
      </c>
      <c r="F969" s="1">
        <v>4493.97</v>
      </c>
      <c r="G969" s="1">
        <v>-42694.080000000002</v>
      </c>
    </row>
    <row r="970" spans="1:7" hidden="1" x14ac:dyDescent="0.2">
      <c r="A970">
        <v>814000</v>
      </c>
      <c r="B970" t="s">
        <v>553</v>
      </c>
      <c r="C970">
        <v>5</v>
      </c>
      <c r="D970" s="1">
        <v>203375.54</v>
      </c>
      <c r="E970" s="1">
        <v>21840.21</v>
      </c>
      <c r="F970" s="1">
        <v>978.73</v>
      </c>
      <c r="G970" s="1">
        <v>224237.02</v>
      </c>
    </row>
    <row r="971" spans="1:7" hidden="1" x14ac:dyDescent="0.2">
      <c r="A971">
        <v>814010</v>
      </c>
      <c r="B971" t="s">
        <v>554</v>
      </c>
      <c r="C971">
        <v>6</v>
      </c>
      <c r="D971" s="1">
        <v>194177.16</v>
      </c>
      <c r="E971" s="1">
        <v>21840.21</v>
      </c>
      <c r="F971" s="1">
        <v>978.73</v>
      </c>
      <c r="G971" s="1">
        <v>215038.64</v>
      </c>
    </row>
    <row r="972" spans="1:7" hidden="1" x14ac:dyDescent="0.2">
      <c r="A972">
        <v>814015</v>
      </c>
      <c r="B972" t="s">
        <v>637</v>
      </c>
      <c r="C972">
        <v>6</v>
      </c>
      <c r="D972" s="1">
        <v>3111.71</v>
      </c>
      <c r="E972" s="1">
        <v>0</v>
      </c>
      <c r="F972" s="1">
        <v>0</v>
      </c>
      <c r="G972" s="1">
        <v>3111.71</v>
      </c>
    </row>
    <row r="973" spans="1:7" hidden="1" x14ac:dyDescent="0.2">
      <c r="A973">
        <v>814020</v>
      </c>
      <c r="B973" t="s">
        <v>555</v>
      </c>
      <c r="C973">
        <v>6</v>
      </c>
      <c r="D973" s="1">
        <v>9063.68</v>
      </c>
      <c r="E973" s="1">
        <v>0</v>
      </c>
      <c r="F973" s="1">
        <v>0</v>
      </c>
      <c r="G973" s="1">
        <v>9063.68</v>
      </c>
    </row>
    <row r="974" spans="1:7" hidden="1" x14ac:dyDescent="0.2">
      <c r="A974">
        <v>814030</v>
      </c>
      <c r="B974" t="s">
        <v>556</v>
      </c>
      <c r="C974">
        <v>6</v>
      </c>
      <c r="D974" s="1">
        <v>827.04</v>
      </c>
      <c r="E974" s="1">
        <v>0</v>
      </c>
      <c r="F974" s="1">
        <v>0</v>
      </c>
      <c r="G974" s="1">
        <v>827.04</v>
      </c>
    </row>
    <row r="975" spans="1:7" hidden="1" x14ac:dyDescent="0.2">
      <c r="A975">
        <v>814060</v>
      </c>
      <c r="B975" t="s">
        <v>557</v>
      </c>
      <c r="C975">
        <v>6</v>
      </c>
      <c r="D975" s="1">
        <v>-3804.05</v>
      </c>
      <c r="E975" s="1">
        <v>0</v>
      </c>
      <c r="F975" s="1">
        <v>0</v>
      </c>
      <c r="G975" s="1">
        <v>-3804.05</v>
      </c>
    </row>
    <row r="976" spans="1:7" hidden="1" x14ac:dyDescent="0.2">
      <c r="A976">
        <v>815555</v>
      </c>
      <c r="B976" t="s">
        <v>558</v>
      </c>
      <c r="C976">
        <v>5</v>
      </c>
      <c r="D976" s="1">
        <v>18115.46</v>
      </c>
      <c r="E976" s="1">
        <v>1323.68</v>
      </c>
      <c r="F976" s="1">
        <v>0</v>
      </c>
      <c r="G976" s="1">
        <v>19439.14</v>
      </c>
    </row>
    <row r="977" spans="1:7" hidden="1" x14ac:dyDescent="0.2">
      <c r="A977">
        <v>815560</v>
      </c>
      <c r="B977" t="s">
        <v>559</v>
      </c>
      <c r="C977">
        <v>6</v>
      </c>
      <c r="D977" s="1">
        <v>8577.33</v>
      </c>
      <c r="E977" s="1">
        <v>886.72</v>
      </c>
      <c r="F977" s="1">
        <v>0</v>
      </c>
      <c r="G977" s="1">
        <v>9464.0499999999993</v>
      </c>
    </row>
    <row r="978" spans="1:7" hidden="1" x14ac:dyDescent="0.2">
      <c r="A978">
        <v>815565</v>
      </c>
      <c r="B978" t="s">
        <v>560</v>
      </c>
      <c r="C978">
        <v>6</v>
      </c>
      <c r="D978" s="1">
        <v>9063.83</v>
      </c>
      <c r="E978" s="1">
        <v>436.96</v>
      </c>
      <c r="F978" s="1">
        <v>0</v>
      </c>
      <c r="G978" s="1">
        <v>9500.7900000000009</v>
      </c>
    </row>
    <row r="979" spans="1:7" hidden="1" x14ac:dyDescent="0.2">
      <c r="A979">
        <v>815570</v>
      </c>
      <c r="B979" t="s">
        <v>561</v>
      </c>
      <c r="C979">
        <v>6</v>
      </c>
      <c r="D979" s="1">
        <v>474.3</v>
      </c>
      <c r="E979" s="1">
        <v>0</v>
      </c>
      <c r="F979" s="1">
        <v>0</v>
      </c>
      <c r="G979" s="1">
        <v>474.3</v>
      </c>
    </row>
    <row r="980" spans="1:7" hidden="1" x14ac:dyDescent="0.2">
      <c r="A980">
        <v>816575</v>
      </c>
      <c r="B980" t="s">
        <v>562</v>
      </c>
      <c r="C980">
        <v>5</v>
      </c>
      <c r="D980" s="1">
        <v>-2676788.7799999998</v>
      </c>
      <c r="E980" s="1">
        <v>360189.08</v>
      </c>
      <c r="F980" s="1">
        <v>506791.56</v>
      </c>
      <c r="G980" s="1">
        <v>-2823391.26</v>
      </c>
    </row>
    <row r="981" spans="1:7" hidden="1" x14ac:dyDescent="0.2">
      <c r="A981">
        <v>816585</v>
      </c>
      <c r="B981" t="s">
        <v>563</v>
      </c>
      <c r="C981">
        <v>6</v>
      </c>
      <c r="D981" s="1">
        <v>873950</v>
      </c>
      <c r="E981" s="1">
        <v>175000</v>
      </c>
      <c r="F981" s="1">
        <v>0</v>
      </c>
      <c r="G981" s="1">
        <v>1048950</v>
      </c>
    </row>
    <row r="982" spans="1:7" hidden="1" x14ac:dyDescent="0.2">
      <c r="A982">
        <v>816586</v>
      </c>
      <c r="B982" t="s">
        <v>564</v>
      </c>
      <c r="C982">
        <v>6</v>
      </c>
      <c r="D982" s="1">
        <v>380366.95</v>
      </c>
      <c r="E982" s="1">
        <v>0</v>
      </c>
      <c r="F982" s="1">
        <v>0</v>
      </c>
      <c r="G982" s="1">
        <v>380366.95</v>
      </c>
    </row>
    <row r="983" spans="1:7" hidden="1" x14ac:dyDescent="0.2">
      <c r="A983">
        <v>816587</v>
      </c>
      <c r="B983" t="s">
        <v>565</v>
      </c>
      <c r="C983">
        <v>6</v>
      </c>
      <c r="D983" s="1">
        <v>639427.98</v>
      </c>
      <c r="E983" s="1">
        <v>0</v>
      </c>
      <c r="F983" s="1">
        <v>0</v>
      </c>
      <c r="G983" s="1">
        <v>639427.98</v>
      </c>
    </row>
    <row r="984" spans="1:7" hidden="1" x14ac:dyDescent="0.2">
      <c r="A984">
        <v>816590</v>
      </c>
      <c r="B984" t="s">
        <v>566</v>
      </c>
      <c r="C984">
        <v>6</v>
      </c>
      <c r="D984" s="1">
        <v>750000</v>
      </c>
      <c r="E984" s="1">
        <v>150000</v>
      </c>
      <c r="F984" s="1">
        <v>0</v>
      </c>
      <c r="G984" s="1">
        <v>900000</v>
      </c>
    </row>
    <row r="985" spans="1:7" hidden="1" x14ac:dyDescent="0.2">
      <c r="A985">
        <v>816592</v>
      </c>
      <c r="B985" t="s">
        <v>567</v>
      </c>
      <c r="C985">
        <v>6</v>
      </c>
      <c r="D985" s="1">
        <v>23043.01</v>
      </c>
      <c r="E985" s="1">
        <v>497.28</v>
      </c>
      <c r="F985" s="1">
        <v>428.92</v>
      </c>
      <c r="G985" s="1">
        <v>23111.37</v>
      </c>
    </row>
    <row r="986" spans="1:7" hidden="1" x14ac:dyDescent="0.2">
      <c r="A986">
        <v>816594</v>
      </c>
      <c r="B986" t="s">
        <v>568</v>
      </c>
      <c r="C986">
        <v>6</v>
      </c>
      <c r="D986" s="1">
        <v>28455.84</v>
      </c>
      <c r="E986" s="1">
        <v>0</v>
      </c>
      <c r="F986" s="1">
        <v>0</v>
      </c>
      <c r="G986" s="1">
        <v>28455.84</v>
      </c>
    </row>
    <row r="987" spans="1:7" hidden="1" x14ac:dyDescent="0.2">
      <c r="A987">
        <v>816596</v>
      </c>
      <c r="B987" t="s">
        <v>569</v>
      </c>
      <c r="C987">
        <v>6</v>
      </c>
      <c r="D987" s="1">
        <v>28059.74</v>
      </c>
      <c r="E987" s="1">
        <v>0</v>
      </c>
      <c r="F987" s="1">
        <v>0</v>
      </c>
      <c r="G987" s="1">
        <v>28059.74</v>
      </c>
    </row>
    <row r="988" spans="1:7" hidden="1" x14ac:dyDescent="0.2">
      <c r="A988">
        <v>816600</v>
      </c>
      <c r="B988" t="s">
        <v>570</v>
      </c>
      <c r="C988">
        <v>6</v>
      </c>
      <c r="D988" s="1">
        <v>6982.11</v>
      </c>
      <c r="E988" s="1">
        <v>0</v>
      </c>
      <c r="F988" s="1">
        <v>0</v>
      </c>
      <c r="G988" s="1">
        <v>6982.11</v>
      </c>
    </row>
    <row r="989" spans="1:7" hidden="1" x14ac:dyDescent="0.2">
      <c r="A989">
        <v>816610</v>
      </c>
      <c r="B989" t="s">
        <v>571</v>
      </c>
      <c r="C989">
        <v>6</v>
      </c>
      <c r="D989" s="1">
        <v>360999.82</v>
      </c>
      <c r="E989" s="1">
        <v>18306.8</v>
      </c>
      <c r="F989" s="1">
        <v>176.22</v>
      </c>
      <c r="G989" s="1">
        <v>379130.4</v>
      </c>
    </row>
    <row r="990" spans="1:7" hidden="1" x14ac:dyDescent="0.2">
      <c r="A990">
        <v>816620</v>
      </c>
      <c r="B990" t="s">
        <v>572</v>
      </c>
      <c r="C990">
        <v>6</v>
      </c>
      <c r="D990" s="1">
        <v>197288.08</v>
      </c>
      <c r="E990" s="1">
        <v>16385</v>
      </c>
      <c r="F990" s="1">
        <v>0</v>
      </c>
      <c r="G990" s="1">
        <v>213673.08</v>
      </c>
    </row>
    <row r="991" spans="1:7" hidden="1" x14ac:dyDescent="0.2">
      <c r="A991">
        <v>816700</v>
      </c>
      <c r="B991" t="s">
        <v>799</v>
      </c>
      <c r="C991">
        <v>6</v>
      </c>
      <c r="D991" s="1">
        <v>-5738966.9900000002</v>
      </c>
      <c r="E991" s="1">
        <v>0</v>
      </c>
      <c r="F991" s="1">
        <v>506030.99</v>
      </c>
      <c r="G991" s="1">
        <v>-6244997.9800000004</v>
      </c>
    </row>
    <row r="992" spans="1:7" hidden="1" x14ac:dyDescent="0.2">
      <c r="A992">
        <v>816702</v>
      </c>
      <c r="B992" t="s">
        <v>573</v>
      </c>
      <c r="C992">
        <v>6</v>
      </c>
      <c r="D992" s="1">
        <v>-40384.019999999997</v>
      </c>
      <c r="E992" s="1">
        <v>0</v>
      </c>
      <c r="F992" s="1">
        <v>27.73</v>
      </c>
      <c r="G992" s="1">
        <v>-40411.75</v>
      </c>
    </row>
    <row r="993" spans="1:7" hidden="1" x14ac:dyDescent="0.2">
      <c r="A993">
        <v>816704</v>
      </c>
      <c r="B993" t="s">
        <v>574</v>
      </c>
      <c r="C993">
        <v>6</v>
      </c>
      <c r="D993" s="1">
        <v>-186011.3</v>
      </c>
      <c r="E993" s="1">
        <v>0</v>
      </c>
      <c r="F993" s="1">
        <v>127.7</v>
      </c>
      <c r="G993" s="1">
        <v>-186139</v>
      </c>
    </row>
    <row r="994" spans="1:7" hidden="1" x14ac:dyDescent="0.2">
      <c r="A994">
        <v>817620</v>
      </c>
      <c r="B994" t="s">
        <v>575</v>
      </c>
      <c r="C994">
        <v>5</v>
      </c>
      <c r="D994" s="1">
        <v>8405847.3100000005</v>
      </c>
      <c r="E994" s="1">
        <v>762558.56</v>
      </c>
      <c r="F994" s="1">
        <v>20306.8</v>
      </c>
      <c r="G994" s="1">
        <v>9148099.0700000003</v>
      </c>
    </row>
    <row r="995" spans="1:7" hidden="1" x14ac:dyDescent="0.2">
      <c r="A995">
        <v>817635</v>
      </c>
      <c r="B995" t="s">
        <v>576</v>
      </c>
      <c r="C995">
        <v>6</v>
      </c>
      <c r="D995" s="1">
        <v>3290696.59</v>
      </c>
      <c r="E995" s="1">
        <v>298322.55</v>
      </c>
      <c r="F995" s="1">
        <v>0</v>
      </c>
      <c r="G995" s="1">
        <v>3589019.14</v>
      </c>
    </row>
    <row r="996" spans="1:7" hidden="1" x14ac:dyDescent="0.2">
      <c r="A996">
        <v>817647</v>
      </c>
      <c r="B996" t="s">
        <v>577</v>
      </c>
      <c r="C996">
        <v>6</v>
      </c>
      <c r="D996" s="1">
        <v>-159230.22</v>
      </c>
      <c r="E996" s="1">
        <v>0</v>
      </c>
      <c r="F996" s="1">
        <v>20306.8</v>
      </c>
      <c r="G996" s="1">
        <v>-179537.02</v>
      </c>
    </row>
    <row r="997" spans="1:7" hidden="1" x14ac:dyDescent="0.2">
      <c r="A997">
        <v>817649</v>
      </c>
      <c r="B997" t="s">
        <v>800</v>
      </c>
      <c r="C997">
        <v>6</v>
      </c>
      <c r="D997" s="1">
        <v>5274380.9400000004</v>
      </c>
      <c r="E997" s="1">
        <v>464236.01</v>
      </c>
      <c r="F997" s="1">
        <v>0</v>
      </c>
      <c r="G997" s="1">
        <v>5738616.9500000002</v>
      </c>
    </row>
    <row r="998" spans="1:7" hidden="1" x14ac:dyDescent="0.2">
      <c r="A998">
        <v>818000</v>
      </c>
      <c r="B998" t="s">
        <v>578</v>
      </c>
      <c r="C998">
        <v>5</v>
      </c>
      <c r="D998" s="1">
        <v>-33634.93</v>
      </c>
      <c r="E998" s="1">
        <v>0</v>
      </c>
      <c r="F998" s="1">
        <v>6172.96</v>
      </c>
      <c r="G998" s="1">
        <v>-39807.89</v>
      </c>
    </row>
    <row r="999" spans="1:7" hidden="1" x14ac:dyDescent="0.2">
      <c r="A999">
        <v>818005</v>
      </c>
      <c r="B999" t="s">
        <v>576</v>
      </c>
      <c r="C999">
        <v>6</v>
      </c>
      <c r="D999" s="1">
        <v>-33634.93</v>
      </c>
      <c r="E999" s="1">
        <v>0</v>
      </c>
      <c r="F999" s="1">
        <v>6172.96</v>
      </c>
      <c r="G999" s="1">
        <v>-39807.89</v>
      </c>
    </row>
    <row r="1000" spans="1:7" hidden="1" x14ac:dyDescent="0.2">
      <c r="A1000">
        <v>820650</v>
      </c>
      <c r="B1000" t="s">
        <v>579</v>
      </c>
      <c r="C1000">
        <v>5</v>
      </c>
      <c r="D1000" s="1">
        <v>48968.9</v>
      </c>
      <c r="E1000" s="1">
        <v>0</v>
      </c>
      <c r="F1000" s="1">
        <v>0</v>
      </c>
      <c r="G1000" s="1">
        <v>48968.9</v>
      </c>
    </row>
    <row r="1001" spans="1:7" hidden="1" x14ac:dyDescent="0.2">
      <c r="A1001">
        <v>820655</v>
      </c>
      <c r="B1001" t="s">
        <v>580</v>
      </c>
      <c r="C1001">
        <v>6</v>
      </c>
      <c r="D1001" s="1">
        <v>24776.400000000001</v>
      </c>
      <c r="E1001" s="1">
        <v>0</v>
      </c>
      <c r="F1001" s="1">
        <v>0</v>
      </c>
      <c r="G1001" s="1">
        <v>24776.400000000001</v>
      </c>
    </row>
    <row r="1002" spans="1:7" hidden="1" x14ac:dyDescent="0.2">
      <c r="A1002">
        <v>820660</v>
      </c>
      <c r="B1002" t="s">
        <v>581</v>
      </c>
      <c r="C1002">
        <v>6</v>
      </c>
      <c r="D1002" s="1">
        <v>24192.5</v>
      </c>
      <c r="E1002" s="1">
        <v>0</v>
      </c>
      <c r="F1002" s="1">
        <v>0</v>
      </c>
      <c r="G1002" s="1">
        <v>24192.5</v>
      </c>
    </row>
    <row r="1003" spans="1:7" hidden="1" x14ac:dyDescent="0.2">
      <c r="A1003">
        <v>821675</v>
      </c>
      <c r="B1003" t="s">
        <v>583</v>
      </c>
      <c r="C1003">
        <v>5</v>
      </c>
      <c r="D1003" s="1">
        <v>247808.15</v>
      </c>
      <c r="E1003" s="1">
        <v>71243.69</v>
      </c>
      <c r="F1003" s="1">
        <v>0</v>
      </c>
      <c r="G1003" s="1">
        <v>319051.84000000003</v>
      </c>
    </row>
    <row r="1004" spans="1:7" hidden="1" x14ac:dyDescent="0.2">
      <c r="A1004">
        <v>821677</v>
      </c>
      <c r="B1004" t="s">
        <v>584</v>
      </c>
      <c r="C1004">
        <v>6</v>
      </c>
      <c r="D1004" s="1">
        <v>136550.94</v>
      </c>
      <c r="E1004" s="1">
        <v>21273.57</v>
      </c>
      <c r="F1004" s="1">
        <v>0</v>
      </c>
      <c r="G1004" s="1">
        <v>157824.51</v>
      </c>
    </row>
    <row r="1005" spans="1:7" hidden="1" x14ac:dyDescent="0.2">
      <c r="A1005">
        <v>821679</v>
      </c>
      <c r="B1005" t="s">
        <v>585</v>
      </c>
      <c r="C1005">
        <v>6</v>
      </c>
      <c r="D1005" s="1">
        <v>109977.21</v>
      </c>
      <c r="E1005" s="1">
        <v>49970.12</v>
      </c>
      <c r="F1005" s="1">
        <v>0</v>
      </c>
      <c r="G1005" s="1">
        <v>159947.32999999999</v>
      </c>
    </row>
    <row r="1006" spans="1:7" hidden="1" x14ac:dyDescent="0.2">
      <c r="A1006">
        <v>821685</v>
      </c>
      <c r="B1006" t="s">
        <v>586</v>
      </c>
      <c r="C1006">
        <v>6</v>
      </c>
      <c r="D1006" s="1">
        <v>1280</v>
      </c>
      <c r="E1006" s="1">
        <v>0</v>
      </c>
      <c r="F1006" s="1">
        <v>0</v>
      </c>
      <c r="G1006" s="1">
        <v>1280</v>
      </c>
    </row>
    <row r="1007" spans="1:7" hidden="1" x14ac:dyDescent="0.2">
      <c r="A1007">
        <v>822685</v>
      </c>
      <c r="B1007" t="s">
        <v>587</v>
      </c>
      <c r="C1007">
        <v>5</v>
      </c>
      <c r="D1007" s="1">
        <v>864264.12</v>
      </c>
      <c r="E1007" s="1">
        <v>59835.92</v>
      </c>
      <c r="F1007" s="1">
        <v>20402.560000000001</v>
      </c>
      <c r="G1007" s="1">
        <v>903697.48</v>
      </c>
    </row>
    <row r="1008" spans="1:7" hidden="1" x14ac:dyDescent="0.2">
      <c r="A1008">
        <v>822700</v>
      </c>
      <c r="B1008" t="s">
        <v>588</v>
      </c>
      <c r="C1008">
        <v>6</v>
      </c>
      <c r="D1008" s="1">
        <v>837366.75</v>
      </c>
      <c r="E1008" s="1">
        <v>59785.919999999998</v>
      </c>
      <c r="F1008" s="1">
        <v>20402.560000000001</v>
      </c>
      <c r="G1008" s="1">
        <v>876750.11</v>
      </c>
    </row>
    <row r="1009" spans="1:7" hidden="1" x14ac:dyDescent="0.2">
      <c r="A1009">
        <v>822702</v>
      </c>
      <c r="B1009" t="s">
        <v>589</v>
      </c>
      <c r="C1009">
        <v>6</v>
      </c>
      <c r="D1009" s="1">
        <v>26897.37</v>
      </c>
      <c r="E1009" s="1">
        <v>50</v>
      </c>
      <c r="F1009" s="1">
        <v>0</v>
      </c>
      <c r="G1009" s="1">
        <v>26947.37</v>
      </c>
    </row>
    <row r="1010" spans="1:7" hidden="1" x14ac:dyDescent="0.2">
      <c r="A1010">
        <v>823740</v>
      </c>
      <c r="B1010" t="s">
        <v>590</v>
      </c>
      <c r="C1010">
        <v>5</v>
      </c>
      <c r="D1010" s="1">
        <v>3326007.08</v>
      </c>
      <c r="E1010" s="1">
        <v>300621.53999999998</v>
      </c>
      <c r="F1010" s="1">
        <v>166761.44</v>
      </c>
      <c r="G1010" s="1">
        <v>3459867.18</v>
      </c>
    </row>
    <row r="1011" spans="1:7" hidden="1" x14ac:dyDescent="0.2">
      <c r="A1011">
        <v>823745</v>
      </c>
      <c r="B1011" t="s">
        <v>591</v>
      </c>
      <c r="C1011">
        <v>6</v>
      </c>
      <c r="D1011" s="1">
        <v>3289851.46</v>
      </c>
      <c r="E1011" s="1">
        <v>299992.58</v>
      </c>
      <c r="F1011" s="1">
        <v>166761.44</v>
      </c>
      <c r="G1011" s="1">
        <v>3423082.6</v>
      </c>
    </row>
    <row r="1012" spans="1:7" hidden="1" x14ac:dyDescent="0.2">
      <c r="A1012">
        <v>823810</v>
      </c>
      <c r="B1012" t="s">
        <v>593</v>
      </c>
      <c r="C1012">
        <v>6</v>
      </c>
      <c r="D1012" s="1">
        <v>6449.37</v>
      </c>
      <c r="E1012" s="1">
        <v>112.19</v>
      </c>
      <c r="F1012" s="1">
        <v>0</v>
      </c>
      <c r="G1012" s="1">
        <v>6561.56</v>
      </c>
    </row>
    <row r="1013" spans="1:7" hidden="1" x14ac:dyDescent="0.2">
      <c r="A1013">
        <v>823820</v>
      </c>
      <c r="B1013" t="s">
        <v>594</v>
      </c>
      <c r="C1013">
        <v>6</v>
      </c>
      <c r="D1013" s="1">
        <v>29706.25</v>
      </c>
      <c r="E1013" s="1">
        <v>516.77</v>
      </c>
      <c r="F1013" s="1">
        <v>0</v>
      </c>
      <c r="G1013" s="1">
        <v>30223.02</v>
      </c>
    </row>
    <row r="1014" spans="1:7" hidden="1" x14ac:dyDescent="0.2">
      <c r="A1014">
        <v>825850</v>
      </c>
      <c r="B1014" t="s">
        <v>595</v>
      </c>
      <c r="C1014">
        <v>5</v>
      </c>
      <c r="D1014" s="1">
        <v>782492.99</v>
      </c>
      <c r="E1014" s="1">
        <v>80804.570000000007</v>
      </c>
      <c r="F1014" s="1">
        <v>1564.09</v>
      </c>
      <c r="G1014" s="1">
        <v>861733.47</v>
      </c>
    </row>
    <row r="1015" spans="1:7" hidden="1" x14ac:dyDescent="0.2">
      <c r="A1015">
        <v>825885</v>
      </c>
      <c r="B1015" t="s">
        <v>596</v>
      </c>
      <c r="C1015">
        <v>6</v>
      </c>
      <c r="D1015" s="1">
        <v>235</v>
      </c>
      <c r="E1015" s="1">
        <v>48</v>
      </c>
      <c r="F1015" s="1">
        <v>0</v>
      </c>
      <c r="G1015" s="1">
        <v>283</v>
      </c>
    </row>
    <row r="1016" spans="1:7" hidden="1" x14ac:dyDescent="0.2">
      <c r="A1016">
        <v>825890</v>
      </c>
      <c r="B1016" t="s">
        <v>597</v>
      </c>
      <c r="C1016">
        <v>6</v>
      </c>
      <c r="D1016" s="1">
        <v>149.80000000000001</v>
      </c>
      <c r="E1016" s="1">
        <v>0</v>
      </c>
      <c r="F1016" s="1">
        <v>0</v>
      </c>
      <c r="G1016" s="1">
        <v>149.80000000000001</v>
      </c>
    </row>
    <row r="1017" spans="1:7" hidden="1" x14ac:dyDescent="0.2">
      <c r="A1017">
        <v>825895</v>
      </c>
      <c r="B1017" t="s">
        <v>598</v>
      </c>
      <c r="C1017">
        <v>6</v>
      </c>
      <c r="D1017" s="1">
        <v>76</v>
      </c>
      <c r="E1017" s="1">
        <v>24</v>
      </c>
      <c r="F1017" s="1">
        <v>0</v>
      </c>
      <c r="G1017" s="1">
        <v>100</v>
      </c>
    </row>
    <row r="1018" spans="1:7" hidden="1" x14ac:dyDescent="0.2">
      <c r="A1018">
        <v>825896</v>
      </c>
      <c r="B1018" t="s">
        <v>599</v>
      </c>
      <c r="C1018">
        <v>6</v>
      </c>
      <c r="D1018" s="1">
        <v>58632.57</v>
      </c>
      <c r="E1018" s="1">
        <v>0</v>
      </c>
      <c r="F1018" s="1">
        <v>0</v>
      </c>
      <c r="G1018" s="1">
        <v>58632.57</v>
      </c>
    </row>
    <row r="1019" spans="1:7" hidden="1" x14ac:dyDescent="0.2">
      <c r="A1019">
        <v>825897</v>
      </c>
      <c r="B1019" t="s">
        <v>600</v>
      </c>
      <c r="C1019">
        <v>6</v>
      </c>
      <c r="D1019" s="1">
        <v>330</v>
      </c>
      <c r="E1019" s="1">
        <v>0</v>
      </c>
      <c r="F1019" s="1">
        <v>0</v>
      </c>
      <c r="G1019" s="1">
        <v>330</v>
      </c>
    </row>
    <row r="1020" spans="1:7" hidden="1" x14ac:dyDescent="0.2">
      <c r="A1020">
        <v>825900</v>
      </c>
      <c r="B1020" t="s">
        <v>601</v>
      </c>
      <c r="C1020">
        <v>6</v>
      </c>
      <c r="D1020" s="1">
        <v>90</v>
      </c>
      <c r="E1020" s="1">
        <v>65</v>
      </c>
      <c r="F1020" s="1">
        <v>0</v>
      </c>
      <c r="G1020" s="1">
        <v>155</v>
      </c>
    </row>
    <row r="1021" spans="1:7" hidden="1" x14ac:dyDescent="0.2">
      <c r="A1021">
        <v>825905</v>
      </c>
      <c r="B1021" t="s">
        <v>602</v>
      </c>
      <c r="C1021">
        <v>6</v>
      </c>
      <c r="D1021" s="1">
        <v>0</v>
      </c>
      <c r="E1021" s="1">
        <v>6300</v>
      </c>
      <c r="F1021" s="1">
        <v>0</v>
      </c>
      <c r="G1021" s="1">
        <v>6300</v>
      </c>
    </row>
    <row r="1022" spans="1:7" hidden="1" x14ac:dyDescent="0.2">
      <c r="A1022">
        <v>825910</v>
      </c>
      <c r="B1022" t="s">
        <v>603</v>
      </c>
      <c r="C1022">
        <v>6</v>
      </c>
      <c r="D1022" s="1">
        <v>3166</v>
      </c>
      <c r="E1022" s="1">
        <v>100</v>
      </c>
      <c r="F1022" s="1">
        <v>0</v>
      </c>
      <c r="G1022" s="1">
        <v>3266</v>
      </c>
    </row>
    <row r="1023" spans="1:7" hidden="1" x14ac:dyDescent="0.2">
      <c r="A1023">
        <v>825915</v>
      </c>
      <c r="B1023" t="s">
        <v>604</v>
      </c>
      <c r="C1023">
        <v>6</v>
      </c>
      <c r="D1023" s="1">
        <v>3576.97</v>
      </c>
      <c r="E1023" s="1">
        <v>0</v>
      </c>
      <c r="F1023" s="1">
        <v>0</v>
      </c>
      <c r="G1023" s="1">
        <v>3576.97</v>
      </c>
    </row>
    <row r="1024" spans="1:7" hidden="1" x14ac:dyDescent="0.2">
      <c r="A1024">
        <v>825925</v>
      </c>
      <c r="B1024" t="s">
        <v>605</v>
      </c>
      <c r="C1024">
        <v>6</v>
      </c>
      <c r="D1024" s="1">
        <v>19646.830000000002</v>
      </c>
      <c r="E1024" s="1">
        <v>2433.16</v>
      </c>
      <c r="F1024" s="1">
        <v>0</v>
      </c>
      <c r="G1024" s="1">
        <v>22079.99</v>
      </c>
    </row>
    <row r="1025" spans="1:7" hidden="1" x14ac:dyDescent="0.2">
      <c r="A1025">
        <v>825930</v>
      </c>
      <c r="B1025" t="s">
        <v>174</v>
      </c>
      <c r="C1025">
        <v>6</v>
      </c>
      <c r="D1025" s="1">
        <v>34573.199999999997</v>
      </c>
      <c r="E1025" s="1">
        <v>3216.78</v>
      </c>
      <c r="F1025" s="1">
        <v>0</v>
      </c>
      <c r="G1025" s="1">
        <v>37789.980000000003</v>
      </c>
    </row>
    <row r="1026" spans="1:7" hidden="1" x14ac:dyDescent="0.2">
      <c r="A1026">
        <v>825940</v>
      </c>
      <c r="B1026" t="s">
        <v>606</v>
      </c>
      <c r="C1026">
        <v>6</v>
      </c>
      <c r="D1026" s="1">
        <v>1114.8</v>
      </c>
      <c r="E1026" s="1">
        <v>0</v>
      </c>
      <c r="F1026" s="1">
        <v>0</v>
      </c>
      <c r="G1026" s="1">
        <v>1114.8</v>
      </c>
    </row>
    <row r="1027" spans="1:7" hidden="1" x14ac:dyDescent="0.2">
      <c r="A1027">
        <v>825945</v>
      </c>
      <c r="B1027" t="s">
        <v>607</v>
      </c>
      <c r="C1027">
        <v>6</v>
      </c>
      <c r="D1027" s="1">
        <v>77653.19</v>
      </c>
      <c r="E1027" s="1">
        <v>8069.99</v>
      </c>
      <c r="F1027" s="1">
        <v>0</v>
      </c>
      <c r="G1027" s="1">
        <v>85723.18</v>
      </c>
    </row>
    <row r="1028" spans="1:7" hidden="1" x14ac:dyDescent="0.2">
      <c r="A1028">
        <v>825947</v>
      </c>
      <c r="B1028" t="s">
        <v>859</v>
      </c>
      <c r="C1028">
        <v>6</v>
      </c>
      <c r="D1028" s="1">
        <v>208795.69</v>
      </c>
      <c r="E1028" s="1">
        <v>5194.62</v>
      </c>
      <c r="F1028" s="1">
        <v>0</v>
      </c>
      <c r="G1028" s="1">
        <v>213990.31</v>
      </c>
    </row>
    <row r="1029" spans="1:7" hidden="1" x14ac:dyDescent="0.2">
      <c r="A1029">
        <v>825950</v>
      </c>
      <c r="B1029" t="s">
        <v>608</v>
      </c>
      <c r="C1029">
        <v>6</v>
      </c>
      <c r="D1029" s="1">
        <v>6560</v>
      </c>
      <c r="E1029" s="1">
        <v>0</v>
      </c>
      <c r="F1029" s="1">
        <v>0</v>
      </c>
      <c r="G1029" s="1">
        <v>6560</v>
      </c>
    </row>
    <row r="1030" spans="1:7" hidden="1" x14ac:dyDescent="0.2">
      <c r="A1030">
        <v>825985</v>
      </c>
      <c r="B1030" t="s">
        <v>610</v>
      </c>
      <c r="C1030">
        <v>6</v>
      </c>
      <c r="D1030" s="1">
        <v>19796.2</v>
      </c>
      <c r="E1030" s="1">
        <v>17456.2</v>
      </c>
      <c r="F1030" s="1">
        <v>0</v>
      </c>
      <c r="G1030" s="1">
        <v>37252.400000000001</v>
      </c>
    </row>
    <row r="1031" spans="1:7" hidden="1" x14ac:dyDescent="0.2">
      <c r="A1031">
        <v>825990</v>
      </c>
      <c r="B1031" t="s">
        <v>611</v>
      </c>
      <c r="C1031">
        <v>6</v>
      </c>
      <c r="D1031" s="1">
        <v>46039.31</v>
      </c>
      <c r="E1031" s="1">
        <v>7999.26</v>
      </c>
      <c r="F1031" s="1">
        <v>1564.09</v>
      </c>
      <c r="G1031" s="1">
        <v>52474.48</v>
      </c>
    </row>
    <row r="1032" spans="1:7" hidden="1" x14ac:dyDescent="0.2">
      <c r="A1032">
        <v>825992</v>
      </c>
      <c r="B1032" t="s">
        <v>612</v>
      </c>
      <c r="C1032">
        <v>6</v>
      </c>
      <c r="D1032" s="1">
        <v>239601.97</v>
      </c>
      <c r="E1032" s="1">
        <v>26040.38</v>
      </c>
      <c r="F1032" s="1">
        <v>0</v>
      </c>
      <c r="G1032" s="1">
        <v>265642.34999999998</v>
      </c>
    </row>
    <row r="1033" spans="1:7" hidden="1" x14ac:dyDescent="0.2">
      <c r="A1033">
        <v>825995</v>
      </c>
      <c r="B1033" t="s">
        <v>175</v>
      </c>
      <c r="C1033">
        <v>6</v>
      </c>
      <c r="D1033" s="1">
        <v>47555.24</v>
      </c>
      <c r="E1033" s="1">
        <v>3503.08</v>
      </c>
      <c r="F1033" s="1">
        <v>0</v>
      </c>
      <c r="G1033" s="1">
        <v>51058.32</v>
      </c>
    </row>
    <row r="1034" spans="1:7" hidden="1" x14ac:dyDescent="0.2">
      <c r="A1034">
        <v>826010</v>
      </c>
      <c r="B1034" t="s">
        <v>613</v>
      </c>
      <c r="C1034">
        <v>6</v>
      </c>
      <c r="D1034" s="1">
        <v>9549.9599999999991</v>
      </c>
      <c r="E1034" s="1">
        <v>0</v>
      </c>
      <c r="F1034" s="1">
        <v>0</v>
      </c>
      <c r="G1034" s="1">
        <v>9549.9599999999991</v>
      </c>
    </row>
    <row r="1035" spans="1:7" hidden="1" x14ac:dyDescent="0.2">
      <c r="A1035">
        <v>826035</v>
      </c>
      <c r="B1035" t="s">
        <v>614</v>
      </c>
      <c r="C1035">
        <v>6</v>
      </c>
      <c r="D1035" s="1">
        <v>5350.26</v>
      </c>
      <c r="E1035" s="1">
        <v>354.1</v>
      </c>
      <c r="F1035" s="1">
        <v>0</v>
      </c>
      <c r="G1035" s="1">
        <v>5704.36</v>
      </c>
    </row>
    <row r="1036" spans="1:7" hidden="1" x14ac:dyDescent="0.2">
      <c r="A1036">
        <v>827040</v>
      </c>
      <c r="B1036" t="s">
        <v>615</v>
      </c>
      <c r="C1036">
        <v>5</v>
      </c>
      <c r="D1036" s="1">
        <v>120937.17</v>
      </c>
      <c r="E1036" s="1">
        <v>8424.68</v>
      </c>
      <c r="F1036" s="1">
        <v>0</v>
      </c>
      <c r="G1036" s="1">
        <v>129361.85</v>
      </c>
    </row>
    <row r="1037" spans="1:7" hidden="1" x14ac:dyDescent="0.2">
      <c r="A1037">
        <v>827042</v>
      </c>
      <c r="B1037" t="s">
        <v>860</v>
      </c>
      <c r="C1037">
        <v>6</v>
      </c>
      <c r="D1037" s="1">
        <v>2300</v>
      </c>
      <c r="E1037" s="1">
        <v>0</v>
      </c>
      <c r="F1037" s="1">
        <v>0</v>
      </c>
      <c r="G1037" s="1">
        <v>2300</v>
      </c>
    </row>
    <row r="1038" spans="1:7" hidden="1" x14ac:dyDescent="0.2">
      <c r="A1038">
        <v>827043</v>
      </c>
      <c r="B1038" t="s">
        <v>596</v>
      </c>
      <c r="C1038">
        <v>6</v>
      </c>
      <c r="D1038" s="1">
        <v>61.55</v>
      </c>
      <c r="E1038" s="1">
        <v>0</v>
      </c>
      <c r="F1038" s="1">
        <v>0</v>
      </c>
      <c r="G1038" s="1">
        <v>61.55</v>
      </c>
    </row>
    <row r="1039" spans="1:7" hidden="1" x14ac:dyDescent="0.2">
      <c r="A1039">
        <v>827054</v>
      </c>
      <c r="B1039" t="s">
        <v>616</v>
      </c>
      <c r="C1039">
        <v>6</v>
      </c>
      <c r="D1039" s="1">
        <v>80825.34</v>
      </c>
      <c r="E1039" s="1">
        <v>85.68</v>
      </c>
      <c r="F1039" s="1">
        <v>0</v>
      </c>
      <c r="G1039" s="1">
        <v>80911.02</v>
      </c>
    </row>
    <row r="1040" spans="1:7" hidden="1" x14ac:dyDescent="0.2">
      <c r="A1040">
        <v>827064</v>
      </c>
      <c r="B1040" t="s">
        <v>617</v>
      </c>
      <c r="C1040">
        <v>6</v>
      </c>
      <c r="D1040" s="1">
        <v>49261.02</v>
      </c>
      <c r="E1040" s="1">
        <v>8339</v>
      </c>
      <c r="F1040" s="1">
        <v>0</v>
      </c>
      <c r="G1040" s="1">
        <v>57600.02</v>
      </c>
    </row>
    <row r="1041" spans="1:7" hidden="1" x14ac:dyDescent="0.2">
      <c r="A1041">
        <v>827502</v>
      </c>
      <c r="B1041" t="s">
        <v>501</v>
      </c>
      <c r="C1041">
        <v>6</v>
      </c>
      <c r="D1041" s="1">
        <v>-2053.27</v>
      </c>
      <c r="E1041" s="1">
        <v>0</v>
      </c>
      <c r="F1041" s="1">
        <v>0</v>
      </c>
      <c r="G1041" s="1">
        <v>-2053.27</v>
      </c>
    </row>
    <row r="1042" spans="1:7" hidden="1" x14ac:dyDescent="0.2">
      <c r="A1042">
        <v>828504</v>
      </c>
      <c r="B1042" t="s">
        <v>502</v>
      </c>
      <c r="C1042">
        <v>6</v>
      </c>
      <c r="D1042" s="1">
        <v>-9457.4699999999993</v>
      </c>
      <c r="E1042" s="1">
        <v>0</v>
      </c>
      <c r="F1042" s="1">
        <v>0</v>
      </c>
      <c r="G1042" s="1">
        <v>-9457.4699999999993</v>
      </c>
    </row>
    <row r="1043" spans="1:7" hidden="1" x14ac:dyDescent="0.2">
      <c r="A1043">
        <v>830000</v>
      </c>
      <c r="B1043" t="s">
        <v>618</v>
      </c>
      <c r="C1043">
        <v>5</v>
      </c>
      <c r="D1043" s="1">
        <v>-215537.12</v>
      </c>
      <c r="E1043" s="1">
        <v>0</v>
      </c>
      <c r="F1043" s="1">
        <v>0</v>
      </c>
      <c r="G1043" s="1">
        <v>-215537.12</v>
      </c>
    </row>
    <row r="1044" spans="1:7" hidden="1" x14ac:dyDescent="0.2">
      <c r="A1044">
        <v>830005</v>
      </c>
      <c r="B1044" t="s">
        <v>619</v>
      </c>
      <c r="C1044">
        <v>6</v>
      </c>
      <c r="D1044" s="1">
        <v>-139554.64000000001</v>
      </c>
      <c r="E1044" s="1">
        <v>0</v>
      </c>
      <c r="F1044" s="1">
        <v>0</v>
      </c>
      <c r="G1044" s="1">
        <v>-139554.64000000001</v>
      </c>
    </row>
    <row r="1045" spans="1:7" hidden="1" x14ac:dyDescent="0.2">
      <c r="A1045">
        <v>830010</v>
      </c>
      <c r="B1045" t="s">
        <v>620</v>
      </c>
      <c r="C1045">
        <v>6</v>
      </c>
      <c r="D1045" s="1">
        <v>-75982.48</v>
      </c>
      <c r="E1045" s="1">
        <v>0</v>
      </c>
      <c r="F1045" s="1">
        <v>0</v>
      </c>
      <c r="G1045" s="1">
        <v>-75982.48</v>
      </c>
    </row>
    <row r="1046" spans="1:7" hidden="1" x14ac:dyDescent="0.2">
      <c r="A1046">
        <v>833000</v>
      </c>
      <c r="B1046" t="s">
        <v>621</v>
      </c>
      <c r="C1046">
        <v>3</v>
      </c>
      <c r="D1046" s="1">
        <v>18568460.82</v>
      </c>
      <c r="E1046" s="1">
        <v>3414196.37</v>
      </c>
      <c r="F1046" s="1">
        <v>2458830.56</v>
      </c>
      <c r="G1046" s="1">
        <v>19523826.629999999</v>
      </c>
    </row>
    <row r="1047" spans="1:7" hidden="1" x14ac:dyDescent="0.2">
      <c r="A1047">
        <v>833020</v>
      </c>
      <c r="B1047" t="s">
        <v>622</v>
      </c>
      <c r="C1047">
        <v>4</v>
      </c>
      <c r="D1047" s="1">
        <v>15231766.43</v>
      </c>
      <c r="E1047" s="1">
        <v>2995361.24</v>
      </c>
      <c r="F1047" s="1">
        <v>2452770.25</v>
      </c>
      <c r="G1047" s="1">
        <v>15774357.42</v>
      </c>
    </row>
    <row r="1048" spans="1:7" hidden="1" x14ac:dyDescent="0.2">
      <c r="A1048">
        <v>833040</v>
      </c>
      <c r="B1048" t="s">
        <v>504</v>
      </c>
      <c r="C1048">
        <v>5</v>
      </c>
      <c r="D1048" s="1">
        <v>11489361.34</v>
      </c>
      <c r="E1048" s="1">
        <v>1699790.54</v>
      </c>
      <c r="F1048" s="1">
        <v>355901.63</v>
      </c>
      <c r="G1048" s="1">
        <v>12833250.25</v>
      </c>
    </row>
    <row r="1049" spans="1:7" hidden="1" x14ac:dyDescent="0.2">
      <c r="A1049">
        <v>833042</v>
      </c>
      <c r="B1049" t="s">
        <v>623</v>
      </c>
      <c r="C1049">
        <v>6</v>
      </c>
      <c r="D1049" s="1">
        <v>1016733.33</v>
      </c>
      <c r="E1049" s="1">
        <v>0</v>
      </c>
      <c r="F1049" s="1">
        <v>0</v>
      </c>
      <c r="G1049" s="1">
        <v>1016733.33</v>
      </c>
    </row>
    <row r="1050" spans="1:7" hidden="1" x14ac:dyDescent="0.2">
      <c r="A1050">
        <v>833045</v>
      </c>
      <c r="B1050" t="s">
        <v>624</v>
      </c>
      <c r="C1050">
        <v>6</v>
      </c>
      <c r="D1050" s="1">
        <v>508703.33</v>
      </c>
      <c r="E1050" s="1">
        <v>25866.66</v>
      </c>
      <c r="F1050" s="1">
        <v>462.2</v>
      </c>
      <c r="G1050" s="1">
        <v>534107.79</v>
      </c>
    </row>
    <row r="1051" spans="1:7" hidden="1" x14ac:dyDescent="0.2">
      <c r="A1051">
        <v>833050</v>
      </c>
      <c r="B1051" t="s">
        <v>380</v>
      </c>
      <c r="C1051">
        <v>6</v>
      </c>
      <c r="D1051" s="1">
        <v>6391602.8499999996</v>
      </c>
      <c r="E1051" s="1">
        <v>920086.66</v>
      </c>
      <c r="F1051" s="1">
        <v>141266.34</v>
      </c>
      <c r="G1051" s="1">
        <v>7170423.1699999999</v>
      </c>
    </row>
    <row r="1052" spans="1:7" hidden="1" x14ac:dyDescent="0.2">
      <c r="A1052">
        <v>833055</v>
      </c>
      <c r="B1052" t="s">
        <v>505</v>
      </c>
      <c r="C1052">
        <v>6</v>
      </c>
      <c r="D1052" s="1">
        <v>332846.7</v>
      </c>
      <c r="E1052" s="1">
        <v>2606.58</v>
      </c>
      <c r="F1052" s="1">
        <v>13253.69</v>
      </c>
      <c r="G1052" s="1">
        <v>322199.59000000003</v>
      </c>
    </row>
    <row r="1053" spans="1:7" hidden="1" x14ac:dyDescent="0.2">
      <c r="A1053">
        <v>833060</v>
      </c>
      <c r="B1053" t="s">
        <v>506</v>
      </c>
      <c r="C1053">
        <v>6</v>
      </c>
      <c r="D1053" s="1">
        <v>61741.11</v>
      </c>
      <c r="E1053" s="1">
        <v>4923.79</v>
      </c>
      <c r="F1053" s="1">
        <v>0</v>
      </c>
      <c r="G1053" s="1">
        <v>66664.899999999994</v>
      </c>
    </row>
    <row r="1054" spans="1:7" hidden="1" x14ac:dyDescent="0.2">
      <c r="A1054">
        <v>833070</v>
      </c>
      <c r="B1054" t="s">
        <v>507</v>
      </c>
      <c r="C1054">
        <v>6</v>
      </c>
      <c r="D1054" s="1">
        <v>129868.86</v>
      </c>
      <c r="E1054" s="1">
        <v>3912.09</v>
      </c>
      <c r="F1054" s="1">
        <v>0</v>
      </c>
      <c r="G1054" s="1">
        <v>133780.95000000001</v>
      </c>
    </row>
    <row r="1055" spans="1:7" hidden="1" x14ac:dyDescent="0.2">
      <c r="A1055">
        <v>833075</v>
      </c>
      <c r="B1055" t="s">
        <v>1181</v>
      </c>
      <c r="C1055">
        <v>6</v>
      </c>
      <c r="D1055" s="1">
        <v>421.73</v>
      </c>
      <c r="E1055" s="1">
        <v>421.73</v>
      </c>
      <c r="F1055" s="1">
        <v>0</v>
      </c>
      <c r="G1055" s="1">
        <v>843.46</v>
      </c>
    </row>
    <row r="1056" spans="1:7" hidden="1" x14ac:dyDescent="0.2">
      <c r="A1056">
        <v>833090</v>
      </c>
      <c r="B1056" t="s">
        <v>508</v>
      </c>
      <c r="C1056">
        <v>6</v>
      </c>
      <c r="D1056" s="1">
        <v>38869.5</v>
      </c>
      <c r="E1056" s="1">
        <v>2120.5</v>
      </c>
      <c r="F1056" s="1">
        <v>0</v>
      </c>
      <c r="G1056" s="1">
        <v>40990</v>
      </c>
    </row>
    <row r="1057" spans="1:7" hidden="1" x14ac:dyDescent="0.2">
      <c r="A1057">
        <v>833095</v>
      </c>
      <c r="B1057" t="s">
        <v>509</v>
      </c>
      <c r="C1057">
        <v>6</v>
      </c>
      <c r="D1057" s="1">
        <v>0</v>
      </c>
      <c r="E1057" s="1">
        <v>384</v>
      </c>
      <c r="F1057" s="1">
        <v>384</v>
      </c>
      <c r="G1057" s="1">
        <v>0</v>
      </c>
    </row>
    <row r="1058" spans="1:7" hidden="1" x14ac:dyDescent="0.2">
      <c r="A1058">
        <v>833105</v>
      </c>
      <c r="B1058" t="s">
        <v>510</v>
      </c>
      <c r="C1058">
        <v>6</v>
      </c>
      <c r="D1058" s="1">
        <v>780.76</v>
      </c>
      <c r="E1058" s="1">
        <v>0</v>
      </c>
      <c r="F1058" s="1">
        <v>0</v>
      </c>
      <c r="G1058" s="1">
        <v>780.76</v>
      </c>
    </row>
    <row r="1059" spans="1:7" hidden="1" x14ac:dyDescent="0.2">
      <c r="A1059">
        <v>833114</v>
      </c>
      <c r="B1059" t="s">
        <v>863</v>
      </c>
      <c r="C1059">
        <v>6</v>
      </c>
      <c r="D1059" s="1">
        <v>2080.0100000000002</v>
      </c>
      <c r="E1059" s="1">
        <v>0</v>
      </c>
      <c r="F1059" s="1">
        <v>0</v>
      </c>
      <c r="G1059" s="1">
        <v>2080.0100000000002</v>
      </c>
    </row>
    <row r="1060" spans="1:7" hidden="1" x14ac:dyDescent="0.2">
      <c r="A1060">
        <v>833120</v>
      </c>
      <c r="B1060" t="s">
        <v>511</v>
      </c>
      <c r="C1060">
        <v>6</v>
      </c>
      <c r="D1060" s="1">
        <v>79130.460000000006</v>
      </c>
      <c r="E1060" s="1">
        <v>8415.74</v>
      </c>
      <c r="F1060" s="1">
        <v>0</v>
      </c>
      <c r="G1060" s="1">
        <v>87546.2</v>
      </c>
    </row>
    <row r="1061" spans="1:7" hidden="1" x14ac:dyDescent="0.2">
      <c r="A1061">
        <v>833135</v>
      </c>
      <c r="B1061" t="s">
        <v>512</v>
      </c>
      <c r="C1061">
        <v>6</v>
      </c>
      <c r="D1061" s="1">
        <v>1027256.84</v>
      </c>
      <c r="E1061" s="1">
        <v>302968.34000000003</v>
      </c>
      <c r="F1061" s="1">
        <v>139830.87</v>
      </c>
      <c r="G1061" s="1">
        <v>1190394.31</v>
      </c>
    </row>
    <row r="1062" spans="1:7" hidden="1" x14ac:dyDescent="0.2">
      <c r="A1062">
        <v>833145</v>
      </c>
      <c r="B1062" t="s">
        <v>1182</v>
      </c>
      <c r="C1062">
        <v>6</v>
      </c>
      <c r="D1062" s="1">
        <v>-39973.82</v>
      </c>
      <c r="E1062" s="1">
        <v>0</v>
      </c>
      <c r="F1062" s="1">
        <v>0</v>
      </c>
      <c r="G1062" s="1">
        <v>-39973.82</v>
      </c>
    </row>
    <row r="1063" spans="1:7" hidden="1" x14ac:dyDescent="0.2">
      <c r="A1063">
        <v>833160</v>
      </c>
      <c r="B1063" t="s">
        <v>513</v>
      </c>
      <c r="C1063">
        <v>6</v>
      </c>
      <c r="D1063" s="1">
        <v>580846.14</v>
      </c>
      <c r="E1063" s="1">
        <v>347026.13</v>
      </c>
      <c r="F1063" s="1">
        <v>60704.53</v>
      </c>
      <c r="G1063" s="1">
        <v>867167.74</v>
      </c>
    </row>
    <row r="1064" spans="1:7" hidden="1" x14ac:dyDescent="0.2">
      <c r="A1064">
        <v>833170</v>
      </c>
      <c r="B1064" t="s">
        <v>836</v>
      </c>
      <c r="C1064">
        <v>6</v>
      </c>
      <c r="D1064" s="1">
        <v>2288.3000000000002</v>
      </c>
      <c r="E1064" s="1">
        <v>3651.64</v>
      </c>
      <c r="F1064" s="1">
        <v>0</v>
      </c>
      <c r="G1064" s="1">
        <v>5939.94</v>
      </c>
    </row>
    <row r="1065" spans="1:7" hidden="1" x14ac:dyDescent="0.2">
      <c r="A1065">
        <v>833175</v>
      </c>
      <c r="B1065" t="s">
        <v>514</v>
      </c>
      <c r="C1065">
        <v>6</v>
      </c>
      <c r="D1065" s="1">
        <v>354497.86</v>
      </c>
      <c r="E1065" s="1">
        <v>6725.22</v>
      </c>
      <c r="F1065" s="1">
        <v>0</v>
      </c>
      <c r="G1065" s="1">
        <v>361223.08</v>
      </c>
    </row>
    <row r="1066" spans="1:7" hidden="1" x14ac:dyDescent="0.2">
      <c r="A1066">
        <v>833180</v>
      </c>
      <c r="B1066" t="s">
        <v>515</v>
      </c>
      <c r="C1066">
        <v>6</v>
      </c>
      <c r="D1066" s="1">
        <v>274001.23</v>
      </c>
      <c r="E1066" s="1">
        <v>0</v>
      </c>
      <c r="F1066" s="1">
        <v>0</v>
      </c>
      <c r="G1066" s="1">
        <v>274001.23</v>
      </c>
    </row>
    <row r="1067" spans="1:7" hidden="1" x14ac:dyDescent="0.2">
      <c r="A1067">
        <v>833190</v>
      </c>
      <c r="B1067" t="s">
        <v>516</v>
      </c>
      <c r="C1067">
        <v>6</v>
      </c>
      <c r="D1067" s="1">
        <v>727666.15</v>
      </c>
      <c r="E1067" s="1">
        <v>70681.460000000006</v>
      </c>
      <c r="F1067" s="1">
        <v>0</v>
      </c>
      <c r="G1067" s="1">
        <v>798347.61</v>
      </c>
    </row>
    <row r="1068" spans="1:7" hidden="1" x14ac:dyDescent="0.2">
      <c r="A1068">
        <v>834205</v>
      </c>
      <c r="B1068" t="s">
        <v>517</v>
      </c>
      <c r="C1068">
        <v>5</v>
      </c>
      <c r="D1068" s="1">
        <v>3684923.02</v>
      </c>
      <c r="E1068" s="1">
        <v>539017.57999999996</v>
      </c>
      <c r="F1068" s="1">
        <v>89031.91</v>
      </c>
      <c r="G1068" s="1">
        <v>4134908.69</v>
      </c>
    </row>
    <row r="1069" spans="1:7" hidden="1" x14ac:dyDescent="0.2">
      <c r="A1069">
        <v>834210</v>
      </c>
      <c r="B1069" t="s">
        <v>518</v>
      </c>
      <c r="C1069">
        <v>6</v>
      </c>
      <c r="D1069" s="1">
        <v>2371734.62</v>
      </c>
      <c r="E1069" s="1">
        <v>393282.05</v>
      </c>
      <c r="F1069" s="1">
        <v>69743.97</v>
      </c>
      <c r="G1069" s="1">
        <v>2695272.7</v>
      </c>
    </row>
    <row r="1070" spans="1:7" hidden="1" x14ac:dyDescent="0.2">
      <c r="A1070">
        <v>834215</v>
      </c>
      <c r="B1070" t="s">
        <v>519</v>
      </c>
      <c r="C1070">
        <v>6</v>
      </c>
      <c r="D1070" s="1">
        <v>690352.51</v>
      </c>
      <c r="E1070" s="1">
        <v>126168.45</v>
      </c>
      <c r="F1070" s="1">
        <v>19287.939999999999</v>
      </c>
      <c r="G1070" s="1">
        <v>797233.02</v>
      </c>
    </row>
    <row r="1071" spans="1:7" hidden="1" x14ac:dyDescent="0.2">
      <c r="A1071">
        <v>834217</v>
      </c>
      <c r="B1071" t="s">
        <v>520</v>
      </c>
      <c r="C1071">
        <v>6</v>
      </c>
      <c r="D1071" s="1">
        <v>496725.36</v>
      </c>
      <c r="E1071" s="1">
        <v>1756.06</v>
      </c>
      <c r="F1071" s="1">
        <v>0</v>
      </c>
      <c r="G1071" s="1">
        <v>498481.42</v>
      </c>
    </row>
    <row r="1072" spans="1:7" hidden="1" x14ac:dyDescent="0.2">
      <c r="A1072">
        <v>834220</v>
      </c>
      <c r="B1072" t="s">
        <v>521</v>
      </c>
      <c r="C1072">
        <v>6</v>
      </c>
      <c r="D1072" s="1">
        <v>126537.61</v>
      </c>
      <c r="E1072" s="1">
        <v>17811.02</v>
      </c>
      <c r="F1072" s="1">
        <v>0</v>
      </c>
      <c r="G1072" s="1">
        <v>144348.63</v>
      </c>
    </row>
    <row r="1073" spans="1:7" hidden="1" x14ac:dyDescent="0.2">
      <c r="A1073">
        <v>834225</v>
      </c>
      <c r="B1073" t="s">
        <v>522</v>
      </c>
      <c r="C1073">
        <v>6</v>
      </c>
      <c r="D1073" s="1">
        <v>-427.08</v>
      </c>
      <c r="E1073" s="1">
        <v>0</v>
      </c>
      <c r="F1073" s="1">
        <v>0</v>
      </c>
      <c r="G1073" s="1">
        <v>-427.08</v>
      </c>
    </row>
    <row r="1074" spans="1:7" hidden="1" x14ac:dyDescent="0.2">
      <c r="A1074">
        <v>835235</v>
      </c>
      <c r="B1074" t="s">
        <v>523</v>
      </c>
      <c r="C1074">
        <v>5</v>
      </c>
      <c r="D1074" s="1">
        <v>220232.81</v>
      </c>
      <c r="E1074" s="1">
        <v>71023.600000000006</v>
      </c>
      <c r="F1074" s="1">
        <v>1458.01</v>
      </c>
      <c r="G1074" s="1">
        <v>289798.40000000002</v>
      </c>
    </row>
    <row r="1075" spans="1:7" hidden="1" x14ac:dyDescent="0.2">
      <c r="A1075">
        <v>836235</v>
      </c>
      <c r="B1075" t="s">
        <v>524</v>
      </c>
      <c r="C1075">
        <v>5</v>
      </c>
      <c r="D1075" s="1">
        <v>463501.31</v>
      </c>
      <c r="E1075" s="1">
        <v>63902.41</v>
      </c>
      <c r="F1075" s="1">
        <v>952.89</v>
      </c>
      <c r="G1075" s="1">
        <v>526450.82999999996</v>
      </c>
    </row>
    <row r="1076" spans="1:7" hidden="1" x14ac:dyDescent="0.2">
      <c r="A1076">
        <v>836240</v>
      </c>
      <c r="B1076" t="s">
        <v>525</v>
      </c>
      <c r="C1076">
        <v>6</v>
      </c>
      <c r="D1076" s="1">
        <v>23031.24</v>
      </c>
      <c r="E1076" s="1">
        <v>7189.4</v>
      </c>
      <c r="F1076" s="1">
        <v>0</v>
      </c>
      <c r="G1076" s="1">
        <v>30220.639999999999</v>
      </c>
    </row>
    <row r="1077" spans="1:7" hidden="1" x14ac:dyDescent="0.2">
      <c r="A1077">
        <v>836245</v>
      </c>
      <c r="B1077" t="s">
        <v>526</v>
      </c>
      <c r="C1077">
        <v>6</v>
      </c>
      <c r="D1077" s="1">
        <v>22038.25</v>
      </c>
      <c r="E1077" s="1">
        <v>2292.1799999999998</v>
      </c>
      <c r="F1077" s="1">
        <v>62.18</v>
      </c>
      <c r="G1077" s="1">
        <v>24268.25</v>
      </c>
    </row>
    <row r="1078" spans="1:7" hidden="1" x14ac:dyDescent="0.2">
      <c r="A1078">
        <v>836250</v>
      </c>
      <c r="B1078" t="s">
        <v>527</v>
      </c>
      <c r="C1078">
        <v>6</v>
      </c>
      <c r="D1078" s="1">
        <v>12592.21</v>
      </c>
      <c r="E1078" s="1">
        <v>2986.8</v>
      </c>
      <c r="F1078" s="1">
        <v>0</v>
      </c>
      <c r="G1078" s="1">
        <v>15579.01</v>
      </c>
    </row>
    <row r="1079" spans="1:7" hidden="1" x14ac:dyDescent="0.2">
      <c r="A1079">
        <v>836255</v>
      </c>
      <c r="B1079" t="s">
        <v>528</v>
      </c>
      <c r="C1079">
        <v>6</v>
      </c>
      <c r="D1079" s="1">
        <v>50410.49</v>
      </c>
      <c r="E1079" s="1">
        <v>16282.64</v>
      </c>
      <c r="F1079" s="1">
        <v>0</v>
      </c>
      <c r="G1079" s="1">
        <v>66693.13</v>
      </c>
    </row>
    <row r="1080" spans="1:7" hidden="1" x14ac:dyDescent="0.2">
      <c r="A1080">
        <v>836265</v>
      </c>
      <c r="B1080" t="s">
        <v>529</v>
      </c>
      <c r="C1080">
        <v>6</v>
      </c>
      <c r="D1080" s="1">
        <v>735.79</v>
      </c>
      <c r="E1080" s="1">
        <v>538.17999999999995</v>
      </c>
      <c r="F1080" s="1">
        <v>0</v>
      </c>
      <c r="G1080" s="1">
        <v>1273.97</v>
      </c>
    </row>
    <row r="1081" spans="1:7" hidden="1" x14ac:dyDescent="0.2">
      <c r="A1081">
        <v>836270</v>
      </c>
      <c r="B1081" t="s">
        <v>530</v>
      </c>
      <c r="C1081">
        <v>6</v>
      </c>
      <c r="D1081" s="1">
        <v>4139.29</v>
      </c>
      <c r="E1081" s="1">
        <v>640</v>
      </c>
      <c r="F1081" s="1">
        <v>0</v>
      </c>
      <c r="G1081" s="1">
        <v>4779.29</v>
      </c>
    </row>
    <row r="1082" spans="1:7" hidden="1" x14ac:dyDescent="0.2">
      <c r="A1082">
        <v>836305</v>
      </c>
      <c r="B1082" t="s">
        <v>246</v>
      </c>
      <c r="C1082">
        <v>6</v>
      </c>
      <c r="D1082" s="1">
        <v>70763.149999999994</v>
      </c>
      <c r="E1082" s="1">
        <v>1346.7</v>
      </c>
      <c r="F1082" s="1">
        <v>0</v>
      </c>
      <c r="G1082" s="1">
        <v>72109.850000000006</v>
      </c>
    </row>
    <row r="1083" spans="1:7" hidden="1" x14ac:dyDescent="0.2">
      <c r="A1083">
        <v>836307</v>
      </c>
      <c r="B1083" t="s">
        <v>531</v>
      </c>
      <c r="C1083">
        <v>6</v>
      </c>
      <c r="D1083" s="1">
        <v>32792.639999999999</v>
      </c>
      <c r="E1083" s="1">
        <v>7357.19</v>
      </c>
      <c r="F1083" s="1">
        <v>34.159999999999997</v>
      </c>
      <c r="G1083" s="1">
        <v>40115.67</v>
      </c>
    </row>
    <row r="1084" spans="1:7" hidden="1" x14ac:dyDescent="0.2">
      <c r="A1084">
        <v>836315</v>
      </c>
      <c r="B1084" t="s">
        <v>532</v>
      </c>
      <c r="C1084">
        <v>6</v>
      </c>
      <c r="D1084" s="1">
        <v>30595.49</v>
      </c>
      <c r="E1084" s="1">
        <v>3711.03</v>
      </c>
      <c r="F1084" s="1">
        <v>487.16</v>
      </c>
      <c r="G1084" s="1">
        <v>33819.360000000001</v>
      </c>
    </row>
    <row r="1085" spans="1:7" hidden="1" x14ac:dyDescent="0.2">
      <c r="A1085">
        <v>836320</v>
      </c>
      <c r="B1085" t="s">
        <v>533</v>
      </c>
      <c r="C1085">
        <v>6</v>
      </c>
      <c r="D1085" s="1">
        <v>383.22</v>
      </c>
      <c r="E1085" s="1">
        <v>0</v>
      </c>
      <c r="F1085" s="1">
        <v>0</v>
      </c>
      <c r="G1085" s="1">
        <v>383.22</v>
      </c>
    </row>
    <row r="1086" spans="1:7" hidden="1" x14ac:dyDescent="0.2">
      <c r="A1086">
        <v>836335</v>
      </c>
      <c r="B1086" t="s">
        <v>535</v>
      </c>
      <c r="C1086">
        <v>6</v>
      </c>
      <c r="D1086" s="1">
        <v>67652.22</v>
      </c>
      <c r="E1086" s="1">
        <v>7016.84</v>
      </c>
      <c r="F1086" s="1">
        <v>0</v>
      </c>
      <c r="G1086" s="1">
        <v>74669.06</v>
      </c>
    </row>
    <row r="1087" spans="1:7" hidden="1" x14ac:dyDescent="0.2">
      <c r="A1087">
        <v>836336</v>
      </c>
      <c r="B1087" t="s">
        <v>534</v>
      </c>
      <c r="C1087">
        <v>6</v>
      </c>
      <c r="D1087" s="1">
        <v>84313.84</v>
      </c>
      <c r="E1087" s="1">
        <v>9611.69</v>
      </c>
      <c r="F1087" s="1">
        <v>0</v>
      </c>
      <c r="G1087" s="1">
        <v>93925.53</v>
      </c>
    </row>
    <row r="1088" spans="1:7" hidden="1" x14ac:dyDescent="0.2">
      <c r="A1088">
        <v>836345</v>
      </c>
      <c r="B1088" t="s">
        <v>537</v>
      </c>
      <c r="C1088">
        <v>6</v>
      </c>
      <c r="D1088" s="1">
        <v>448.53</v>
      </c>
      <c r="E1088" s="1">
        <v>102.69</v>
      </c>
      <c r="F1088" s="1">
        <v>0</v>
      </c>
      <c r="G1088" s="1">
        <v>551.22</v>
      </c>
    </row>
    <row r="1089" spans="1:7" hidden="1" x14ac:dyDescent="0.2">
      <c r="A1089">
        <v>836351</v>
      </c>
      <c r="B1089" t="s">
        <v>538</v>
      </c>
      <c r="C1089">
        <v>6</v>
      </c>
      <c r="D1089" s="1">
        <v>32624.83</v>
      </c>
      <c r="E1089" s="1">
        <v>3031.22</v>
      </c>
      <c r="F1089" s="1">
        <v>0</v>
      </c>
      <c r="G1089" s="1">
        <v>35656.050000000003</v>
      </c>
    </row>
    <row r="1090" spans="1:7" hidden="1" x14ac:dyDescent="0.2">
      <c r="A1090">
        <v>836355</v>
      </c>
      <c r="B1090" t="s">
        <v>539</v>
      </c>
      <c r="C1090">
        <v>6</v>
      </c>
      <c r="D1090" s="1">
        <v>14838.75</v>
      </c>
      <c r="E1090" s="1">
        <v>1795.85</v>
      </c>
      <c r="F1090" s="1">
        <v>0</v>
      </c>
      <c r="G1090" s="1">
        <v>16634.599999999999</v>
      </c>
    </row>
    <row r="1091" spans="1:7" hidden="1" x14ac:dyDescent="0.2">
      <c r="A1091">
        <v>836360</v>
      </c>
      <c r="B1091" t="s">
        <v>1183</v>
      </c>
      <c r="C1091">
        <v>6</v>
      </c>
      <c r="D1091" s="1">
        <v>21.9</v>
      </c>
      <c r="E1091" s="1">
        <v>0</v>
      </c>
      <c r="F1091" s="1">
        <v>0</v>
      </c>
      <c r="G1091" s="1">
        <v>21.9</v>
      </c>
    </row>
    <row r="1092" spans="1:7" hidden="1" x14ac:dyDescent="0.2">
      <c r="A1092">
        <v>836370</v>
      </c>
      <c r="B1092" t="s">
        <v>625</v>
      </c>
      <c r="C1092">
        <v>6</v>
      </c>
      <c r="D1092" s="1">
        <v>20486.740000000002</v>
      </c>
      <c r="E1092" s="1">
        <v>0</v>
      </c>
      <c r="F1092" s="1">
        <v>0</v>
      </c>
      <c r="G1092" s="1">
        <v>20486.740000000002</v>
      </c>
    </row>
    <row r="1093" spans="1:7" hidden="1" x14ac:dyDescent="0.2">
      <c r="A1093">
        <v>836502</v>
      </c>
      <c r="B1093" t="s">
        <v>501</v>
      </c>
      <c r="C1093">
        <v>6</v>
      </c>
      <c r="D1093" s="1">
        <v>-779.03</v>
      </c>
      <c r="E1093" s="1">
        <v>0</v>
      </c>
      <c r="F1093" s="1">
        <v>65.89</v>
      </c>
      <c r="G1093" s="1">
        <v>-844.92</v>
      </c>
    </row>
    <row r="1094" spans="1:7" hidden="1" x14ac:dyDescent="0.2">
      <c r="A1094">
        <v>836504</v>
      </c>
      <c r="B1094" t="s">
        <v>502</v>
      </c>
      <c r="C1094">
        <v>6</v>
      </c>
      <c r="D1094" s="1">
        <v>-3588.24</v>
      </c>
      <c r="E1094" s="1">
        <v>0</v>
      </c>
      <c r="F1094" s="1">
        <v>303.5</v>
      </c>
      <c r="G1094" s="1">
        <v>-3891.74</v>
      </c>
    </row>
    <row r="1095" spans="1:7" hidden="1" x14ac:dyDescent="0.2">
      <c r="A1095">
        <v>837370</v>
      </c>
      <c r="B1095" t="s">
        <v>626</v>
      </c>
      <c r="C1095">
        <v>5</v>
      </c>
      <c r="D1095" s="1">
        <v>519243.29</v>
      </c>
      <c r="E1095" s="1">
        <v>87539.25</v>
      </c>
      <c r="F1095" s="1">
        <v>1134.42</v>
      </c>
      <c r="G1095" s="1">
        <v>605648.12</v>
      </c>
    </row>
    <row r="1096" spans="1:7" hidden="1" x14ac:dyDescent="0.2">
      <c r="A1096">
        <v>837420</v>
      </c>
      <c r="B1096" t="s">
        <v>1184</v>
      </c>
      <c r="C1096">
        <v>6</v>
      </c>
      <c r="D1096" s="1">
        <v>290</v>
      </c>
      <c r="E1096" s="1">
        <v>0</v>
      </c>
      <c r="F1096" s="1">
        <v>0</v>
      </c>
      <c r="G1096" s="1">
        <v>290</v>
      </c>
    </row>
    <row r="1097" spans="1:7" hidden="1" x14ac:dyDescent="0.2">
      <c r="A1097">
        <v>837425</v>
      </c>
      <c r="B1097" t="s">
        <v>627</v>
      </c>
      <c r="C1097">
        <v>6</v>
      </c>
      <c r="D1097" s="1">
        <v>25971.85</v>
      </c>
      <c r="E1097" s="1">
        <v>3373.1</v>
      </c>
      <c r="F1097" s="1">
        <v>0</v>
      </c>
      <c r="G1097" s="1">
        <v>29344.95</v>
      </c>
    </row>
    <row r="1098" spans="1:7" hidden="1" x14ac:dyDescent="0.2">
      <c r="A1098">
        <v>837435</v>
      </c>
      <c r="B1098" t="s">
        <v>543</v>
      </c>
      <c r="C1098">
        <v>6</v>
      </c>
      <c r="D1098" s="1">
        <v>30516.06</v>
      </c>
      <c r="E1098" s="1">
        <v>2572.42</v>
      </c>
      <c r="F1098" s="1">
        <v>0</v>
      </c>
      <c r="G1098" s="1">
        <v>33088.480000000003</v>
      </c>
    </row>
    <row r="1099" spans="1:7" hidden="1" x14ac:dyDescent="0.2">
      <c r="A1099">
        <v>837445</v>
      </c>
      <c r="B1099" t="s">
        <v>628</v>
      </c>
      <c r="C1099">
        <v>6</v>
      </c>
      <c r="D1099" s="1">
        <v>109687.02</v>
      </c>
      <c r="E1099" s="1">
        <v>20056</v>
      </c>
      <c r="F1099" s="1">
        <v>0</v>
      </c>
      <c r="G1099" s="1">
        <v>129743.02</v>
      </c>
    </row>
    <row r="1100" spans="1:7" hidden="1" x14ac:dyDescent="0.2">
      <c r="A1100">
        <v>837450</v>
      </c>
      <c r="B1100" t="s">
        <v>545</v>
      </c>
      <c r="C1100">
        <v>6</v>
      </c>
      <c r="D1100" s="1">
        <v>6647.96</v>
      </c>
      <c r="E1100" s="1">
        <v>0</v>
      </c>
      <c r="F1100" s="1">
        <v>0</v>
      </c>
      <c r="G1100" s="1">
        <v>6647.96</v>
      </c>
    </row>
    <row r="1101" spans="1:7" hidden="1" x14ac:dyDescent="0.2">
      <c r="A1101">
        <v>837455</v>
      </c>
      <c r="B1101" t="s">
        <v>546</v>
      </c>
      <c r="C1101">
        <v>6</v>
      </c>
      <c r="D1101" s="1">
        <v>7076.1</v>
      </c>
      <c r="E1101" s="1">
        <v>0</v>
      </c>
      <c r="F1101" s="1">
        <v>0</v>
      </c>
      <c r="G1101" s="1">
        <v>7076.1</v>
      </c>
    </row>
    <row r="1102" spans="1:7" hidden="1" x14ac:dyDescent="0.2">
      <c r="A1102">
        <v>837476</v>
      </c>
      <c r="B1102" t="s">
        <v>550</v>
      </c>
      <c r="C1102">
        <v>6</v>
      </c>
      <c r="D1102" s="1">
        <v>94195.5</v>
      </c>
      <c r="E1102" s="1">
        <v>2098.0700000000002</v>
      </c>
      <c r="F1102" s="1">
        <v>0</v>
      </c>
      <c r="G1102" s="1">
        <v>96293.57</v>
      </c>
    </row>
    <row r="1103" spans="1:7" hidden="1" x14ac:dyDescent="0.2">
      <c r="A1103">
        <v>837485</v>
      </c>
      <c r="B1103" t="s">
        <v>548</v>
      </c>
      <c r="C1103">
        <v>6</v>
      </c>
      <c r="D1103" s="1">
        <v>4200</v>
      </c>
      <c r="E1103" s="1">
        <v>0</v>
      </c>
      <c r="F1103" s="1">
        <v>0</v>
      </c>
      <c r="G1103" s="1">
        <v>4200</v>
      </c>
    </row>
    <row r="1104" spans="1:7" hidden="1" x14ac:dyDescent="0.2">
      <c r="A1104">
        <v>837505</v>
      </c>
      <c r="B1104" t="s">
        <v>861</v>
      </c>
      <c r="C1104">
        <v>6</v>
      </c>
      <c r="D1104" s="1">
        <v>325</v>
      </c>
      <c r="E1104" s="1">
        <v>149</v>
      </c>
      <c r="F1104" s="1">
        <v>0</v>
      </c>
      <c r="G1104" s="1">
        <v>474</v>
      </c>
    </row>
    <row r="1105" spans="1:7" hidden="1" x14ac:dyDescent="0.2">
      <c r="A1105">
        <v>837510</v>
      </c>
      <c r="B1105" t="s">
        <v>1109</v>
      </c>
      <c r="C1105">
        <v>6</v>
      </c>
      <c r="D1105" s="1">
        <v>870</v>
      </c>
      <c r="E1105" s="1">
        <v>0</v>
      </c>
      <c r="F1105" s="1">
        <v>0</v>
      </c>
      <c r="G1105" s="1">
        <v>870</v>
      </c>
    </row>
    <row r="1106" spans="1:7" hidden="1" x14ac:dyDescent="0.2">
      <c r="A1106">
        <v>837511</v>
      </c>
      <c r="B1106" t="s">
        <v>1110</v>
      </c>
      <c r="C1106">
        <v>6</v>
      </c>
      <c r="D1106" s="1">
        <v>2111.1999999999998</v>
      </c>
      <c r="E1106" s="1">
        <v>0</v>
      </c>
      <c r="F1106" s="1">
        <v>0</v>
      </c>
      <c r="G1106" s="1">
        <v>2111.1999999999998</v>
      </c>
    </row>
    <row r="1107" spans="1:7" hidden="1" x14ac:dyDescent="0.2">
      <c r="A1107">
        <v>837520</v>
      </c>
      <c r="B1107" t="s">
        <v>867</v>
      </c>
      <c r="C1107">
        <v>6</v>
      </c>
      <c r="D1107" s="1">
        <v>2609</v>
      </c>
      <c r="E1107" s="1">
        <v>150</v>
      </c>
      <c r="F1107" s="1">
        <v>0</v>
      </c>
      <c r="G1107" s="1">
        <v>2759</v>
      </c>
    </row>
    <row r="1108" spans="1:7" hidden="1" x14ac:dyDescent="0.2">
      <c r="A1108">
        <v>837525</v>
      </c>
      <c r="B1108" t="s">
        <v>551</v>
      </c>
      <c r="C1108">
        <v>6</v>
      </c>
      <c r="D1108" s="1">
        <v>111036.41</v>
      </c>
      <c r="E1108" s="1">
        <v>20928.169999999998</v>
      </c>
      <c r="F1108" s="1">
        <v>0</v>
      </c>
      <c r="G1108" s="1">
        <v>131964.57999999999</v>
      </c>
    </row>
    <row r="1109" spans="1:7" hidden="1" x14ac:dyDescent="0.2">
      <c r="A1109">
        <v>837530</v>
      </c>
      <c r="B1109" t="s">
        <v>842</v>
      </c>
      <c r="C1109">
        <v>6</v>
      </c>
      <c r="D1109" s="1">
        <v>754.4</v>
      </c>
      <c r="E1109" s="1">
        <v>0</v>
      </c>
      <c r="F1109" s="1">
        <v>0</v>
      </c>
      <c r="G1109" s="1">
        <v>754.4</v>
      </c>
    </row>
    <row r="1110" spans="1:7" hidden="1" x14ac:dyDescent="0.2">
      <c r="A1110">
        <v>837540</v>
      </c>
      <c r="B1110" t="s">
        <v>629</v>
      </c>
      <c r="C1110">
        <v>6</v>
      </c>
      <c r="D1110" s="1">
        <v>28581.25</v>
      </c>
      <c r="E1110" s="1">
        <v>7022.24</v>
      </c>
      <c r="F1110" s="1">
        <v>0</v>
      </c>
      <c r="G1110" s="1">
        <v>35603.49</v>
      </c>
    </row>
    <row r="1111" spans="1:7" hidden="1" x14ac:dyDescent="0.2">
      <c r="A1111">
        <v>837565</v>
      </c>
      <c r="B1111" t="s">
        <v>841</v>
      </c>
      <c r="C1111">
        <v>6</v>
      </c>
      <c r="D1111" s="1">
        <v>1009</v>
      </c>
      <c r="E1111" s="1">
        <v>650</v>
      </c>
      <c r="F1111" s="1">
        <v>0</v>
      </c>
      <c r="G1111" s="1">
        <v>1659</v>
      </c>
    </row>
    <row r="1112" spans="1:7" hidden="1" x14ac:dyDescent="0.2">
      <c r="A1112">
        <v>837580</v>
      </c>
      <c r="B1112" t="s">
        <v>630</v>
      </c>
      <c r="C1112">
        <v>6</v>
      </c>
      <c r="D1112" s="1">
        <v>1333.65</v>
      </c>
      <c r="E1112" s="1">
        <v>0</v>
      </c>
      <c r="F1112" s="1">
        <v>0</v>
      </c>
      <c r="G1112" s="1">
        <v>1333.65</v>
      </c>
    </row>
    <row r="1113" spans="1:7" hidden="1" x14ac:dyDescent="0.2">
      <c r="A1113">
        <v>837586</v>
      </c>
      <c r="B1113" t="s">
        <v>840</v>
      </c>
      <c r="C1113">
        <v>6</v>
      </c>
      <c r="D1113" s="1">
        <v>12343.31</v>
      </c>
      <c r="E1113" s="1">
        <v>0</v>
      </c>
      <c r="F1113" s="1">
        <v>0</v>
      </c>
      <c r="G1113" s="1">
        <v>12343.31</v>
      </c>
    </row>
    <row r="1114" spans="1:7" hidden="1" x14ac:dyDescent="0.2">
      <c r="A1114">
        <v>837595</v>
      </c>
      <c r="B1114" t="s">
        <v>631</v>
      </c>
      <c r="C1114">
        <v>6</v>
      </c>
      <c r="D1114" s="1">
        <v>69465.53</v>
      </c>
      <c r="E1114" s="1">
        <v>30540.25</v>
      </c>
      <c r="F1114" s="1">
        <v>1134.42</v>
      </c>
      <c r="G1114" s="1">
        <v>98871.360000000001</v>
      </c>
    </row>
    <row r="1115" spans="1:7" hidden="1" x14ac:dyDescent="0.2">
      <c r="A1115">
        <v>837596</v>
      </c>
      <c r="B1115" t="s">
        <v>632</v>
      </c>
      <c r="C1115">
        <v>6</v>
      </c>
      <c r="D1115" s="1">
        <v>10220.049999999999</v>
      </c>
      <c r="E1115" s="1">
        <v>0</v>
      </c>
      <c r="F1115" s="1">
        <v>0</v>
      </c>
      <c r="G1115" s="1">
        <v>10220.049999999999</v>
      </c>
    </row>
    <row r="1116" spans="1:7" hidden="1" x14ac:dyDescent="0.2">
      <c r="A1116">
        <v>838000</v>
      </c>
      <c r="B1116" t="s">
        <v>634</v>
      </c>
      <c r="C1116">
        <v>5</v>
      </c>
      <c r="D1116" s="1">
        <v>1982526.38</v>
      </c>
      <c r="E1116" s="1">
        <v>214528.79</v>
      </c>
      <c r="F1116" s="1">
        <v>71055.62</v>
      </c>
      <c r="G1116" s="1">
        <v>2125999.5499999998</v>
      </c>
    </row>
    <row r="1117" spans="1:7" hidden="1" x14ac:dyDescent="0.2">
      <c r="A1117">
        <v>838005</v>
      </c>
      <c r="B1117" t="s">
        <v>635</v>
      </c>
      <c r="C1117">
        <v>6</v>
      </c>
      <c r="D1117" s="1">
        <v>21832.82</v>
      </c>
      <c r="E1117" s="1">
        <v>0</v>
      </c>
      <c r="F1117" s="1">
        <v>0</v>
      </c>
      <c r="G1117" s="1">
        <v>21832.82</v>
      </c>
    </row>
    <row r="1118" spans="1:7" hidden="1" x14ac:dyDescent="0.2">
      <c r="A1118">
        <v>838010</v>
      </c>
      <c r="B1118" t="s">
        <v>556</v>
      </c>
      <c r="C1118">
        <v>6</v>
      </c>
      <c r="D1118" s="1">
        <v>31847.97</v>
      </c>
      <c r="E1118" s="1">
        <v>5276.77</v>
      </c>
      <c r="F1118" s="1">
        <v>0</v>
      </c>
      <c r="G1118" s="1">
        <v>37124.74</v>
      </c>
    </row>
    <row r="1119" spans="1:7" hidden="1" x14ac:dyDescent="0.2">
      <c r="A1119">
        <v>838015</v>
      </c>
      <c r="B1119" t="s">
        <v>554</v>
      </c>
      <c r="C1119">
        <v>6</v>
      </c>
      <c r="D1119" s="1">
        <v>1403490.42</v>
      </c>
      <c r="E1119" s="1">
        <v>166315.64000000001</v>
      </c>
      <c r="F1119" s="1">
        <v>61339.42</v>
      </c>
      <c r="G1119" s="1">
        <v>1508466.64</v>
      </c>
    </row>
    <row r="1120" spans="1:7" hidden="1" x14ac:dyDescent="0.2">
      <c r="A1120">
        <v>838020</v>
      </c>
      <c r="B1120" t="s">
        <v>636</v>
      </c>
      <c r="C1120">
        <v>6</v>
      </c>
      <c r="D1120" s="1">
        <v>12293.71</v>
      </c>
      <c r="E1120" s="1">
        <v>914.32</v>
      </c>
      <c r="F1120" s="1">
        <v>0</v>
      </c>
      <c r="G1120" s="1">
        <v>13208.03</v>
      </c>
    </row>
    <row r="1121" spans="1:7" hidden="1" x14ac:dyDescent="0.2">
      <c r="A1121">
        <v>838030</v>
      </c>
      <c r="B1121" t="s">
        <v>637</v>
      </c>
      <c r="C1121">
        <v>6</v>
      </c>
      <c r="D1121" s="1">
        <v>38876.33</v>
      </c>
      <c r="E1121" s="1">
        <v>275</v>
      </c>
      <c r="F1121" s="1">
        <v>0</v>
      </c>
      <c r="G1121" s="1">
        <v>39151.33</v>
      </c>
    </row>
    <row r="1122" spans="1:7" hidden="1" x14ac:dyDescent="0.2">
      <c r="A1122">
        <v>838035</v>
      </c>
      <c r="B1122" t="s">
        <v>1185</v>
      </c>
      <c r="C1122">
        <v>6</v>
      </c>
      <c r="D1122" s="1">
        <v>1200</v>
      </c>
      <c r="E1122" s="1">
        <v>0</v>
      </c>
      <c r="F1122" s="1">
        <v>0</v>
      </c>
      <c r="G1122" s="1">
        <v>1200</v>
      </c>
    </row>
    <row r="1123" spans="1:7" hidden="1" x14ac:dyDescent="0.2">
      <c r="A1123">
        <v>838040</v>
      </c>
      <c r="B1123" t="s">
        <v>638</v>
      </c>
      <c r="C1123">
        <v>6</v>
      </c>
      <c r="D1123" s="1">
        <v>133692.70000000001</v>
      </c>
      <c r="E1123" s="1">
        <v>1100</v>
      </c>
      <c r="F1123" s="1">
        <v>0</v>
      </c>
      <c r="G1123" s="1">
        <v>134792.70000000001</v>
      </c>
    </row>
    <row r="1124" spans="1:7" hidden="1" x14ac:dyDescent="0.2">
      <c r="A1124">
        <v>838045</v>
      </c>
      <c r="B1124" t="s">
        <v>639</v>
      </c>
      <c r="C1124">
        <v>6</v>
      </c>
      <c r="D1124" s="1">
        <v>46215.19</v>
      </c>
      <c r="E1124" s="1">
        <v>0</v>
      </c>
      <c r="F1124" s="1">
        <v>9716.2000000000007</v>
      </c>
      <c r="G1124" s="1">
        <v>36498.99</v>
      </c>
    </row>
    <row r="1125" spans="1:7" hidden="1" x14ac:dyDescent="0.2">
      <c r="A1125">
        <v>838046</v>
      </c>
      <c r="B1125" t="s">
        <v>772</v>
      </c>
      <c r="C1125">
        <v>6</v>
      </c>
      <c r="D1125" s="1">
        <v>40978.06</v>
      </c>
      <c r="E1125" s="1">
        <v>3997.86</v>
      </c>
      <c r="F1125" s="1">
        <v>0</v>
      </c>
      <c r="G1125" s="1">
        <v>44975.92</v>
      </c>
    </row>
    <row r="1126" spans="1:7" hidden="1" x14ac:dyDescent="0.2">
      <c r="A1126">
        <v>838047</v>
      </c>
      <c r="B1126" t="s">
        <v>893</v>
      </c>
      <c r="C1126">
        <v>6</v>
      </c>
      <c r="D1126" s="1">
        <v>140073.73000000001</v>
      </c>
      <c r="E1126" s="1">
        <v>9716.2000000000007</v>
      </c>
      <c r="F1126" s="1">
        <v>0</v>
      </c>
      <c r="G1126" s="1">
        <v>149789.93</v>
      </c>
    </row>
    <row r="1127" spans="1:7" hidden="1" x14ac:dyDescent="0.2">
      <c r="A1127">
        <v>838048</v>
      </c>
      <c r="B1127" t="s">
        <v>640</v>
      </c>
      <c r="C1127">
        <v>6</v>
      </c>
      <c r="D1127" s="1">
        <v>45534.400000000001</v>
      </c>
      <c r="E1127" s="1">
        <v>1350</v>
      </c>
      <c r="F1127" s="1">
        <v>0</v>
      </c>
      <c r="G1127" s="1">
        <v>46884.4</v>
      </c>
    </row>
    <row r="1128" spans="1:7" hidden="1" x14ac:dyDescent="0.2">
      <c r="A1128">
        <v>838050</v>
      </c>
      <c r="B1128" t="s">
        <v>641</v>
      </c>
      <c r="C1128">
        <v>6</v>
      </c>
      <c r="D1128" s="1">
        <v>7649.2</v>
      </c>
      <c r="E1128" s="1">
        <v>0</v>
      </c>
      <c r="F1128" s="1">
        <v>0</v>
      </c>
      <c r="G1128" s="1">
        <v>7649.2</v>
      </c>
    </row>
    <row r="1129" spans="1:7" hidden="1" x14ac:dyDescent="0.2">
      <c r="A1129">
        <v>838054</v>
      </c>
      <c r="B1129" t="s">
        <v>862</v>
      </c>
      <c r="C1129">
        <v>6</v>
      </c>
      <c r="D1129" s="1">
        <v>3300</v>
      </c>
      <c r="E1129" s="1">
        <v>9900</v>
      </c>
      <c r="F1129" s="1">
        <v>0</v>
      </c>
      <c r="G1129" s="1">
        <v>13200</v>
      </c>
    </row>
    <row r="1130" spans="1:7" hidden="1" x14ac:dyDescent="0.2">
      <c r="A1130">
        <v>838055</v>
      </c>
      <c r="B1130" t="s">
        <v>642</v>
      </c>
      <c r="C1130">
        <v>6</v>
      </c>
      <c r="D1130" s="1">
        <v>35167.35</v>
      </c>
      <c r="E1130" s="1">
        <v>13583</v>
      </c>
      <c r="F1130" s="1">
        <v>0</v>
      </c>
      <c r="G1130" s="1">
        <v>48750.35</v>
      </c>
    </row>
    <row r="1131" spans="1:7" hidden="1" x14ac:dyDescent="0.2">
      <c r="A1131">
        <v>838062</v>
      </c>
      <c r="B1131" t="s">
        <v>643</v>
      </c>
      <c r="C1131">
        <v>6</v>
      </c>
      <c r="D1131" s="1">
        <v>9874.5</v>
      </c>
      <c r="E1131" s="1">
        <v>0</v>
      </c>
      <c r="F1131" s="1">
        <v>0</v>
      </c>
      <c r="G1131" s="1">
        <v>9874.5</v>
      </c>
    </row>
    <row r="1132" spans="1:7" hidden="1" x14ac:dyDescent="0.2">
      <c r="A1132">
        <v>838065</v>
      </c>
      <c r="B1132" t="s">
        <v>644</v>
      </c>
      <c r="C1132">
        <v>6</v>
      </c>
      <c r="D1132" s="1">
        <v>10500</v>
      </c>
      <c r="E1132" s="1">
        <v>2100</v>
      </c>
      <c r="F1132" s="1">
        <v>0</v>
      </c>
      <c r="G1132" s="1">
        <v>12600</v>
      </c>
    </row>
    <row r="1133" spans="1:7" hidden="1" x14ac:dyDescent="0.2">
      <c r="A1133">
        <v>839645</v>
      </c>
      <c r="B1133" t="s">
        <v>558</v>
      </c>
      <c r="C1133">
        <v>5</v>
      </c>
      <c r="D1133" s="1">
        <v>73615.179999999993</v>
      </c>
      <c r="E1133" s="1">
        <v>76.38</v>
      </c>
      <c r="F1133" s="1">
        <v>0</v>
      </c>
      <c r="G1133" s="1">
        <v>73691.56</v>
      </c>
    </row>
    <row r="1134" spans="1:7" hidden="1" x14ac:dyDescent="0.2">
      <c r="A1134">
        <v>839650</v>
      </c>
      <c r="B1134" t="s">
        <v>559</v>
      </c>
      <c r="C1134">
        <v>6</v>
      </c>
      <c r="D1134" s="1">
        <v>2483.91</v>
      </c>
      <c r="E1134" s="1">
        <v>0</v>
      </c>
      <c r="F1134" s="1">
        <v>0</v>
      </c>
      <c r="G1134" s="1">
        <v>2483.91</v>
      </c>
    </row>
    <row r="1135" spans="1:7" hidden="1" x14ac:dyDescent="0.2">
      <c r="A1135">
        <v>839655</v>
      </c>
      <c r="B1135" t="s">
        <v>560</v>
      </c>
      <c r="C1135">
        <v>6</v>
      </c>
      <c r="D1135" s="1">
        <v>34176.68</v>
      </c>
      <c r="E1135" s="1">
        <v>76.38</v>
      </c>
      <c r="F1135" s="1">
        <v>0</v>
      </c>
      <c r="G1135" s="1">
        <v>34253.06</v>
      </c>
    </row>
    <row r="1136" spans="1:7" hidden="1" x14ac:dyDescent="0.2">
      <c r="A1136">
        <v>839660</v>
      </c>
      <c r="B1136" t="s">
        <v>561</v>
      </c>
      <c r="C1136">
        <v>6</v>
      </c>
      <c r="D1136" s="1">
        <v>5096.8</v>
      </c>
      <c r="E1136" s="1">
        <v>0</v>
      </c>
      <c r="F1136" s="1">
        <v>0</v>
      </c>
      <c r="G1136" s="1">
        <v>5096.8</v>
      </c>
    </row>
    <row r="1137" spans="1:7" hidden="1" x14ac:dyDescent="0.2">
      <c r="A1137">
        <v>839670</v>
      </c>
      <c r="B1137" t="s">
        <v>645</v>
      </c>
      <c r="C1137">
        <v>6</v>
      </c>
      <c r="D1137" s="1">
        <v>31857.79</v>
      </c>
      <c r="E1137" s="1">
        <v>0</v>
      </c>
      <c r="F1137" s="1">
        <v>0</v>
      </c>
      <c r="G1137" s="1">
        <v>31857.79</v>
      </c>
    </row>
    <row r="1138" spans="1:7" hidden="1" x14ac:dyDescent="0.2">
      <c r="A1138">
        <v>840670</v>
      </c>
      <c r="B1138" t="s">
        <v>562</v>
      </c>
      <c r="C1138">
        <v>5</v>
      </c>
      <c r="D1138" s="1">
        <v>239126.63</v>
      </c>
      <c r="E1138" s="1">
        <v>11802.21</v>
      </c>
      <c r="F1138" s="1">
        <v>2083.1999999999998</v>
      </c>
      <c r="G1138" s="1">
        <v>248845.64</v>
      </c>
    </row>
    <row r="1139" spans="1:7" hidden="1" x14ac:dyDescent="0.2">
      <c r="A1139">
        <v>840695</v>
      </c>
      <c r="B1139" t="s">
        <v>570</v>
      </c>
      <c r="C1139">
        <v>6</v>
      </c>
      <c r="D1139" s="1">
        <v>32310.46</v>
      </c>
      <c r="E1139" s="1">
        <v>2200</v>
      </c>
      <c r="F1139" s="1">
        <v>741.5</v>
      </c>
      <c r="G1139" s="1">
        <v>33768.959999999999</v>
      </c>
    </row>
    <row r="1140" spans="1:7" hidden="1" x14ac:dyDescent="0.2">
      <c r="A1140">
        <v>840700</v>
      </c>
      <c r="B1140" t="s">
        <v>571</v>
      </c>
      <c r="C1140">
        <v>6</v>
      </c>
      <c r="D1140" s="1">
        <v>33044.58</v>
      </c>
      <c r="E1140" s="1">
        <v>3790.92</v>
      </c>
      <c r="F1140" s="1">
        <v>0</v>
      </c>
      <c r="G1140" s="1">
        <v>36835.5</v>
      </c>
    </row>
    <row r="1141" spans="1:7" hidden="1" x14ac:dyDescent="0.2">
      <c r="A1141">
        <v>840710</v>
      </c>
      <c r="B1141" t="s">
        <v>572</v>
      </c>
      <c r="C1141">
        <v>6</v>
      </c>
      <c r="D1141" s="1">
        <v>173771.59</v>
      </c>
      <c r="E1141" s="1">
        <v>5811.29</v>
      </c>
      <c r="F1141" s="1">
        <v>1341.7</v>
      </c>
      <c r="G1141" s="1">
        <v>178241.18</v>
      </c>
    </row>
    <row r="1142" spans="1:7" hidden="1" x14ac:dyDescent="0.2">
      <c r="A1142">
        <v>841710</v>
      </c>
      <c r="B1142" t="s">
        <v>646</v>
      </c>
      <c r="C1142">
        <v>5</v>
      </c>
      <c r="D1142" s="1">
        <v>381811.52</v>
      </c>
      <c r="E1142" s="1">
        <v>37900.980000000003</v>
      </c>
      <c r="F1142" s="1">
        <v>0</v>
      </c>
      <c r="G1142" s="1">
        <v>419712.5</v>
      </c>
    </row>
    <row r="1143" spans="1:7" hidden="1" x14ac:dyDescent="0.2">
      <c r="A1143">
        <v>841715</v>
      </c>
      <c r="B1143" t="s">
        <v>647</v>
      </c>
      <c r="C1143">
        <v>6</v>
      </c>
      <c r="D1143" s="1">
        <v>101171.82</v>
      </c>
      <c r="E1143" s="1">
        <v>8519.0400000000009</v>
      </c>
      <c r="F1143" s="1">
        <v>0</v>
      </c>
      <c r="G1143" s="1">
        <v>109690.86</v>
      </c>
    </row>
    <row r="1144" spans="1:7" hidden="1" x14ac:dyDescent="0.2">
      <c r="A1144">
        <v>841717</v>
      </c>
      <c r="B1144" t="s">
        <v>782</v>
      </c>
      <c r="C1144">
        <v>6</v>
      </c>
      <c r="D1144" s="1">
        <v>1035.4000000000001</v>
      </c>
      <c r="E1144" s="1">
        <v>0</v>
      </c>
      <c r="F1144" s="1">
        <v>0</v>
      </c>
      <c r="G1144" s="1">
        <v>1035.4000000000001</v>
      </c>
    </row>
    <row r="1145" spans="1:7" hidden="1" x14ac:dyDescent="0.2">
      <c r="A1145">
        <v>841720</v>
      </c>
      <c r="B1145" t="s">
        <v>576</v>
      </c>
      <c r="C1145">
        <v>6</v>
      </c>
      <c r="D1145" s="1">
        <v>273872.61</v>
      </c>
      <c r="E1145" s="1">
        <v>29381.94</v>
      </c>
      <c r="F1145" s="1">
        <v>0</v>
      </c>
      <c r="G1145" s="1">
        <v>303254.55</v>
      </c>
    </row>
    <row r="1146" spans="1:7" hidden="1" x14ac:dyDescent="0.2">
      <c r="A1146">
        <v>841722</v>
      </c>
      <c r="B1146" t="s">
        <v>783</v>
      </c>
      <c r="C1146">
        <v>6</v>
      </c>
      <c r="D1146" s="1">
        <v>5731.69</v>
      </c>
      <c r="E1146" s="1">
        <v>0</v>
      </c>
      <c r="F1146" s="1">
        <v>0</v>
      </c>
      <c r="G1146" s="1">
        <v>5731.69</v>
      </c>
    </row>
    <row r="1147" spans="1:7" hidden="1" x14ac:dyDescent="0.2">
      <c r="A1147">
        <v>842000</v>
      </c>
      <c r="B1147" t="s">
        <v>648</v>
      </c>
      <c r="C1147">
        <v>5</v>
      </c>
      <c r="D1147" s="1">
        <v>-1401.47</v>
      </c>
      <c r="E1147" s="1">
        <v>0</v>
      </c>
      <c r="F1147" s="1">
        <v>257.20999999999998</v>
      </c>
      <c r="G1147" s="1">
        <v>-1658.68</v>
      </c>
    </row>
    <row r="1148" spans="1:7" hidden="1" x14ac:dyDescent="0.2">
      <c r="A1148">
        <v>842010</v>
      </c>
      <c r="B1148" t="s">
        <v>576</v>
      </c>
      <c r="C1148">
        <v>6</v>
      </c>
      <c r="D1148" s="1">
        <v>-1401.47</v>
      </c>
      <c r="E1148" s="1">
        <v>0</v>
      </c>
      <c r="F1148" s="1">
        <v>257.20999999999998</v>
      </c>
      <c r="G1148" s="1">
        <v>-1658.68</v>
      </c>
    </row>
    <row r="1149" spans="1:7" hidden="1" x14ac:dyDescent="0.2">
      <c r="A1149">
        <v>843735</v>
      </c>
      <c r="B1149" t="s">
        <v>649</v>
      </c>
      <c r="C1149">
        <v>5</v>
      </c>
      <c r="D1149" s="1">
        <v>167940.2</v>
      </c>
      <c r="E1149" s="1">
        <v>29164.52</v>
      </c>
      <c r="F1149" s="1">
        <v>0</v>
      </c>
      <c r="G1149" s="1">
        <v>197104.72</v>
      </c>
    </row>
    <row r="1150" spans="1:7" hidden="1" x14ac:dyDescent="0.2">
      <c r="A1150">
        <v>843750</v>
      </c>
      <c r="B1150" t="s">
        <v>650</v>
      </c>
      <c r="C1150">
        <v>6</v>
      </c>
      <c r="D1150" s="1">
        <v>155940.20000000001</v>
      </c>
      <c r="E1150" s="1">
        <v>29164.52</v>
      </c>
      <c r="F1150" s="1">
        <v>0</v>
      </c>
      <c r="G1150" s="1">
        <v>185104.72</v>
      </c>
    </row>
    <row r="1151" spans="1:7" hidden="1" x14ac:dyDescent="0.2">
      <c r="A1151">
        <v>843755</v>
      </c>
      <c r="B1151" t="s">
        <v>651</v>
      </c>
      <c r="C1151">
        <v>6</v>
      </c>
      <c r="D1151" s="1">
        <v>12000</v>
      </c>
      <c r="E1151" s="1">
        <v>0</v>
      </c>
      <c r="F1151" s="1">
        <v>0</v>
      </c>
      <c r="G1151" s="1">
        <v>12000</v>
      </c>
    </row>
    <row r="1152" spans="1:7" hidden="1" x14ac:dyDescent="0.2">
      <c r="A1152">
        <v>844755</v>
      </c>
      <c r="B1152" t="s">
        <v>652</v>
      </c>
      <c r="C1152">
        <v>5</v>
      </c>
      <c r="D1152" s="1">
        <v>39834.76</v>
      </c>
      <c r="E1152" s="1">
        <v>310</v>
      </c>
      <c r="F1152" s="1">
        <v>0</v>
      </c>
      <c r="G1152" s="1">
        <v>40144.76</v>
      </c>
    </row>
    <row r="1153" spans="1:7" hidden="1" x14ac:dyDescent="0.2">
      <c r="A1153">
        <v>844765</v>
      </c>
      <c r="B1153" t="s">
        <v>582</v>
      </c>
      <c r="C1153">
        <v>6</v>
      </c>
      <c r="D1153" s="1">
        <v>39834.76</v>
      </c>
      <c r="E1153" s="1">
        <v>310</v>
      </c>
      <c r="F1153" s="1">
        <v>0</v>
      </c>
      <c r="G1153" s="1">
        <v>40144.76</v>
      </c>
    </row>
    <row r="1154" spans="1:7" hidden="1" x14ac:dyDescent="0.2">
      <c r="A1154">
        <v>845765</v>
      </c>
      <c r="B1154" t="s">
        <v>583</v>
      </c>
      <c r="C1154">
        <v>5</v>
      </c>
      <c r="D1154" s="1">
        <v>518952.42</v>
      </c>
      <c r="E1154" s="1">
        <v>68594.3</v>
      </c>
      <c r="F1154" s="1">
        <v>5344.11</v>
      </c>
      <c r="G1154" s="1">
        <v>582202.61</v>
      </c>
    </row>
    <row r="1155" spans="1:7" hidden="1" x14ac:dyDescent="0.2">
      <c r="A1155">
        <v>845785</v>
      </c>
      <c r="B1155" t="s">
        <v>584</v>
      </c>
      <c r="C1155">
        <v>6</v>
      </c>
      <c r="D1155" s="1">
        <v>281585.46999999997</v>
      </c>
      <c r="E1155" s="1">
        <v>30192.47</v>
      </c>
      <c r="F1155" s="1">
        <v>5344.11</v>
      </c>
      <c r="G1155" s="1">
        <v>306433.83</v>
      </c>
    </row>
    <row r="1156" spans="1:7" hidden="1" x14ac:dyDescent="0.2">
      <c r="A1156">
        <v>845790</v>
      </c>
      <c r="B1156" t="s">
        <v>585</v>
      </c>
      <c r="C1156">
        <v>6</v>
      </c>
      <c r="D1156" s="1">
        <v>156767.51</v>
      </c>
      <c r="E1156" s="1">
        <v>18062</v>
      </c>
      <c r="F1156" s="1">
        <v>0</v>
      </c>
      <c r="G1156" s="1">
        <v>174829.51</v>
      </c>
    </row>
    <row r="1157" spans="1:7" hidden="1" x14ac:dyDescent="0.2">
      <c r="A1157">
        <v>845805</v>
      </c>
      <c r="B1157" t="s">
        <v>653</v>
      </c>
      <c r="C1157">
        <v>6</v>
      </c>
      <c r="D1157" s="1">
        <v>78936.44</v>
      </c>
      <c r="E1157" s="1">
        <v>20339.830000000002</v>
      </c>
      <c r="F1157" s="1">
        <v>0</v>
      </c>
      <c r="G1157" s="1">
        <v>99276.27</v>
      </c>
    </row>
    <row r="1158" spans="1:7" hidden="1" x14ac:dyDescent="0.2">
      <c r="A1158">
        <v>845806</v>
      </c>
      <c r="B1158" t="s">
        <v>843</v>
      </c>
      <c r="C1158">
        <v>6</v>
      </c>
      <c r="D1158" s="1">
        <v>1663</v>
      </c>
      <c r="E1158" s="1">
        <v>0</v>
      </c>
      <c r="F1158" s="1">
        <v>0</v>
      </c>
      <c r="G1158" s="1">
        <v>1663</v>
      </c>
    </row>
    <row r="1159" spans="1:7" hidden="1" x14ac:dyDescent="0.2">
      <c r="A1159">
        <v>846815</v>
      </c>
      <c r="B1159" t="s">
        <v>590</v>
      </c>
      <c r="C1159">
        <v>5</v>
      </c>
      <c r="D1159" s="1">
        <v>158770.28</v>
      </c>
      <c r="E1159" s="1">
        <v>56541.06</v>
      </c>
      <c r="F1159" s="1">
        <v>0</v>
      </c>
      <c r="G1159" s="1">
        <v>215311.34</v>
      </c>
    </row>
    <row r="1160" spans="1:7" hidden="1" x14ac:dyDescent="0.2">
      <c r="A1160">
        <v>846820</v>
      </c>
      <c r="B1160" t="s">
        <v>591</v>
      </c>
      <c r="C1160">
        <v>6</v>
      </c>
      <c r="D1160" s="1">
        <v>27138.43</v>
      </c>
      <c r="E1160" s="1">
        <v>2467.13</v>
      </c>
      <c r="F1160" s="1">
        <v>0</v>
      </c>
      <c r="G1160" s="1">
        <v>29605.56</v>
      </c>
    </row>
    <row r="1161" spans="1:7" hidden="1" x14ac:dyDescent="0.2">
      <c r="A1161">
        <v>846830</v>
      </c>
      <c r="B1161" t="s">
        <v>363</v>
      </c>
      <c r="C1161">
        <v>6</v>
      </c>
      <c r="D1161" s="1">
        <v>17694.900000000001</v>
      </c>
      <c r="E1161" s="1">
        <v>1833.24</v>
      </c>
      <c r="F1161" s="1">
        <v>0</v>
      </c>
      <c r="G1161" s="1">
        <v>19528.14</v>
      </c>
    </row>
    <row r="1162" spans="1:7" hidden="1" x14ac:dyDescent="0.2">
      <c r="A1162">
        <v>846845</v>
      </c>
      <c r="B1162" t="s">
        <v>592</v>
      </c>
      <c r="C1162">
        <v>6</v>
      </c>
      <c r="D1162" s="1">
        <v>3469.65</v>
      </c>
      <c r="E1162" s="1">
        <v>0</v>
      </c>
      <c r="F1162" s="1">
        <v>0</v>
      </c>
      <c r="G1162" s="1">
        <v>3469.65</v>
      </c>
    </row>
    <row r="1163" spans="1:7" hidden="1" x14ac:dyDescent="0.2">
      <c r="A1163">
        <v>846900</v>
      </c>
      <c r="B1163" t="s">
        <v>593</v>
      </c>
      <c r="C1163">
        <v>6</v>
      </c>
      <c r="D1163" s="1">
        <v>18831.25</v>
      </c>
      <c r="E1163" s="1">
        <v>1552.93</v>
      </c>
      <c r="F1163" s="1">
        <v>0</v>
      </c>
      <c r="G1163" s="1">
        <v>20384.18</v>
      </c>
    </row>
    <row r="1164" spans="1:7" hidden="1" x14ac:dyDescent="0.2">
      <c r="A1164">
        <v>846905</v>
      </c>
      <c r="B1164" t="s">
        <v>594</v>
      </c>
      <c r="C1164">
        <v>6</v>
      </c>
      <c r="D1164" s="1">
        <v>91636.05</v>
      </c>
      <c r="E1164" s="1">
        <v>50687.76</v>
      </c>
      <c r="F1164" s="1">
        <v>0</v>
      </c>
      <c r="G1164" s="1">
        <v>142323.81</v>
      </c>
    </row>
    <row r="1165" spans="1:7" hidden="1" x14ac:dyDescent="0.2">
      <c r="A1165">
        <v>847895</v>
      </c>
      <c r="B1165" t="s">
        <v>654</v>
      </c>
      <c r="C1165">
        <v>5</v>
      </c>
      <c r="D1165" s="1">
        <v>54180.95</v>
      </c>
      <c r="E1165" s="1">
        <v>53.82</v>
      </c>
      <c r="F1165" s="1">
        <v>0</v>
      </c>
      <c r="G1165" s="1">
        <v>54234.77</v>
      </c>
    </row>
    <row r="1166" spans="1:7" hidden="1" x14ac:dyDescent="0.2">
      <c r="A1166">
        <v>847900</v>
      </c>
      <c r="B1166" t="s">
        <v>655</v>
      </c>
      <c r="C1166">
        <v>6</v>
      </c>
      <c r="D1166" s="1">
        <v>2102.19</v>
      </c>
      <c r="E1166" s="1">
        <v>32.71</v>
      </c>
      <c r="F1166" s="1">
        <v>0</v>
      </c>
      <c r="G1166" s="1">
        <v>2134.9</v>
      </c>
    </row>
    <row r="1167" spans="1:7" hidden="1" x14ac:dyDescent="0.2">
      <c r="A1167">
        <v>847905</v>
      </c>
      <c r="B1167" t="s">
        <v>656</v>
      </c>
      <c r="C1167">
        <v>6</v>
      </c>
      <c r="D1167" s="1">
        <v>52078.76</v>
      </c>
      <c r="E1167" s="1">
        <v>21.11</v>
      </c>
      <c r="F1167" s="1">
        <v>0</v>
      </c>
      <c r="G1167" s="1">
        <v>52099.87</v>
      </c>
    </row>
    <row r="1168" spans="1:7" hidden="1" x14ac:dyDescent="0.2">
      <c r="A1168">
        <v>848910</v>
      </c>
      <c r="B1168" t="s">
        <v>657</v>
      </c>
      <c r="C1168">
        <v>5</v>
      </c>
      <c r="D1168" s="1">
        <v>1413.4</v>
      </c>
      <c r="E1168" s="1">
        <v>0</v>
      </c>
      <c r="F1168" s="1">
        <v>0</v>
      </c>
      <c r="G1168" s="1">
        <v>1413.4</v>
      </c>
    </row>
    <row r="1169" spans="1:7" hidden="1" x14ac:dyDescent="0.2">
      <c r="A1169">
        <v>848950</v>
      </c>
      <c r="B1169" t="s">
        <v>658</v>
      </c>
      <c r="C1169">
        <v>6</v>
      </c>
      <c r="D1169" s="1">
        <v>1413.4</v>
      </c>
      <c r="E1169" s="1">
        <v>0</v>
      </c>
      <c r="F1169" s="1">
        <v>0</v>
      </c>
      <c r="G1169" s="1">
        <v>1413.4</v>
      </c>
    </row>
    <row r="1170" spans="1:7" hidden="1" x14ac:dyDescent="0.2">
      <c r="A1170">
        <v>849950</v>
      </c>
      <c r="B1170" t="s">
        <v>595</v>
      </c>
      <c r="C1170">
        <v>5</v>
      </c>
      <c r="D1170" s="1">
        <v>-4746105.7300000004</v>
      </c>
      <c r="E1170" s="1">
        <v>115115.8</v>
      </c>
      <c r="F1170" s="1">
        <v>1890712.24</v>
      </c>
      <c r="G1170" s="1">
        <v>-6521702.1699999999</v>
      </c>
    </row>
    <row r="1171" spans="1:7" hidden="1" x14ac:dyDescent="0.2">
      <c r="A1171">
        <v>849975</v>
      </c>
      <c r="B1171" t="s">
        <v>596</v>
      </c>
      <c r="C1171">
        <v>6</v>
      </c>
      <c r="D1171" s="1">
        <v>8020.99</v>
      </c>
      <c r="E1171" s="1">
        <v>2596.2600000000002</v>
      </c>
      <c r="F1171" s="1">
        <v>0</v>
      </c>
      <c r="G1171" s="1">
        <v>10617.25</v>
      </c>
    </row>
    <row r="1172" spans="1:7" hidden="1" x14ac:dyDescent="0.2">
      <c r="A1172">
        <v>849980</v>
      </c>
      <c r="B1172" t="s">
        <v>820</v>
      </c>
      <c r="C1172">
        <v>6</v>
      </c>
      <c r="D1172" s="1">
        <v>150</v>
      </c>
      <c r="E1172" s="1">
        <v>0</v>
      </c>
      <c r="F1172" s="1">
        <v>0</v>
      </c>
      <c r="G1172" s="1">
        <v>150</v>
      </c>
    </row>
    <row r="1173" spans="1:7" hidden="1" x14ac:dyDescent="0.2">
      <c r="A1173">
        <v>849985</v>
      </c>
      <c r="B1173" t="s">
        <v>597</v>
      </c>
      <c r="C1173">
        <v>6</v>
      </c>
      <c r="D1173" s="1">
        <v>4632.58</v>
      </c>
      <c r="E1173" s="1">
        <v>900</v>
      </c>
      <c r="F1173" s="1">
        <v>0</v>
      </c>
      <c r="G1173" s="1">
        <v>5532.58</v>
      </c>
    </row>
    <row r="1174" spans="1:7" hidden="1" x14ac:dyDescent="0.2">
      <c r="A1174">
        <v>849990</v>
      </c>
      <c r="B1174" t="s">
        <v>598</v>
      </c>
      <c r="C1174">
        <v>6</v>
      </c>
      <c r="D1174" s="1">
        <v>319</v>
      </c>
      <c r="E1174" s="1">
        <v>8</v>
      </c>
      <c r="F1174" s="1">
        <v>0</v>
      </c>
      <c r="G1174" s="1">
        <v>327</v>
      </c>
    </row>
    <row r="1175" spans="1:7" hidden="1" x14ac:dyDescent="0.2">
      <c r="A1175">
        <v>849991</v>
      </c>
      <c r="B1175" t="s">
        <v>599</v>
      </c>
      <c r="C1175">
        <v>6</v>
      </c>
      <c r="D1175" s="1">
        <v>5860</v>
      </c>
      <c r="E1175" s="1">
        <v>0</v>
      </c>
      <c r="F1175" s="1">
        <v>0</v>
      </c>
      <c r="G1175" s="1">
        <v>5860</v>
      </c>
    </row>
    <row r="1176" spans="1:7" hidden="1" x14ac:dyDescent="0.2">
      <c r="A1176">
        <v>849992</v>
      </c>
      <c r="B1176" t="s">
        <v>600</v>
      </c>
      <c r="C1176">
        <v>6</v>
      </c>
      <c r="D1176" s="1">
        <v>6545</v>
      </c>
      <c r="E1176" s="1">
        <v>0</v>
      </c>
      <c r="F1176" s="1">
        <v>0</v>
      </c>
      <c r="G1176" s="1">
        <v>6545</v>
      </c>
    </row>
    <row r="1177" spans="1:7" hidden="1" x14ac:dyDescent="0.2">
      <c r="A1177">
        <v>849995</v>
      </c>
      <c r="B1177" t="s">
        <v>601</v>
      </c>
      <c r="C1177">
        <v>6</v>
      </c>
      <c r="D1177" s="1">
        <v>2589.4</v>
      </c>
      <c r="E1177" s="1">
        <v>50</v>
      </c>
      <c r="F1177" s="1">
        <v>0</v>
      </c>
      <c r="G1177" s="1">
        <v>2639.4</v>
      </c>
    </row>
    <row r="1178" spans="1:7" hidden="1" x14ac:dyDescent="0.2">
      <c r="A1178">
        <v>850000</v>
      </c>
      <c r="B1178" t="s">
        <v>602</v>
      </c>
      <c r="C1178">
        <v>6</v>
      </c>
      <c r="D1178" s="1">
        <v>17694</v>
      </c>
      <c r="E1178" s="1">
        <v>21218.37</v>
      </c>
      <c r="F1178" s="1">
        <v>152.88</v>
      </c>
      <c r="G1178" s="1">
        <v>38759.49</v>
      </c>
    </row>
    <row r="1179" spans="1:7" hidden="1" x14ac:dyDescent="0.2">
      <c r="A1179">
        <v>850010</v>
      </c>
      <c r="B1179" t="s">
        <v>604</v>
      </c>
      <c r="C1179">
        <v>6</v>
      </c>
      <c r="D1179" s="1">
        <v>6297.59</v>
      </c>
      <c r="E1179" s="1">
        <v>1232.68</v>
      </c>
      <c r="F1179" s="1">
        <v>338.08</v>
      </c>
      <c r="G1179" s="1">
        <v>7192.19</v>
      </c>
    </row>
    <row r="1180" spans="1:7" hidden="1" x14ac:dyDescent="0.2">
      <c r="A1180">
        <v>850020</v>
      </c>
      <c r="B1180" t="s">
        <v>605</v>
      </c>
      <c r="C1180">
        <v>6</v>
      </c>
      <c r="D1180" s="1">
        <v>27881.47</v>
      </c>
      <c r="E1180" s="1">
        <v>42034.44</v>
      </c>
      <c r="F1180" s="1">
        <v>40836.800000000003</v>
      </c>
      <c r="G1180" s="1">
        <v>29079.11</v>
      </c>
    </row>
    <row r="1181" spans="1:7" hidden="1" x14ac:dyDescent="0.2">
      <c r="A1181">
        <v>850025</v>
      </c>
      <c r="B1181" t="s">
        <v>174</v>
      </c>
      <c r="C1181">
        <v>6</v>
      </c>
      <c r="D1181" s="1">
        <v>73930.78</v>
      </c>
      <c r="E1181" s="1">
        <v>17129.2</v>
      </c>
      <c r="F1181" s="1">
        <v>0</v>
      </c>
      <c r="G1181" s="1">
        <v>91059.98</v>
      </c>
    </row>
    <row r="1182" spans="1:7" hidden="1" x14ac:dyDescent="0.2">
      <c r="A1182">
        <v>850050</v>
      </c>
      <c r="B1182" t="s">
        <v>659</v>
      </c>
      <c r="C1182">
        <v>6</v>
      </c>
      <c r="D1182" s="1">
        <v>74940</v>
      </c>
      <c r="E1182" s="1">
        <v>15435</v>
      </c>
      <c r="F1182" s="1">
        <v>0</v>
      </c>
      <c r="G1182" s="1">
        <v>90375</v>
      </c>
    </row>
    <row r="1183" spans="1:7" hidden="1" x14ac:dyDescent="0.2">
      <c r="A1183">
        <v>850055</v>
      </c>
      <c r="B1183" t="s">
        <v>608</v>
      </c>
      <c r="C1183">
        <v>6</v>
      </c>
      <c r="D1183" s="1">
        <v>60</v>
      </c>
      <c r="E1183" s="1">
        <v>0</v>
      </c>
      <c r="F1183" s="1">
        <v>0</v>
      </c>
      <c r="G1183" s="1">
        <v>60</v>
      </c>
    </row>
    <row r="1184" spans="1:7" hidden="1" x14ac:dyDescent="0.2">
      <c r="A1184">
        <v>850065</v>
      </c>
      <c r="B1184" t="s">
        <v>660</v>
      </c>
      <c r="C1184">
        <v>6</v>
      </c>
      <c r="D1184" s="1">
        <v>25199.59</v>
      </c>
      <c r="E1184" s="1">
        <v>1807.25</v>
      </c>
      <c r="F1184" s="1">
        <v>0</v>
      </c>
      <c r="G1184" s="1">
        <v>27006.84</v>
      </c>
    </row>
    <row r="1185" spans="1:7" hidden="1" x14ac:dyDescent="0.2">
      <c r="A1185">
        <v>850070</v>
      </c>
      <c r="B1185" t="s">
        <v>609</v>
      </c>
      <c r="C1185">
        <v>6</v>
      </c>
      <c r="D1185" s="1">
        <v>3243.21</v>
      </c>
      <c r="E1185" s="1">
        <v>1652.95</v>
      </c>
      <c r="F1185" s="1">
        <v>0</v>
      </c>
      <c r="G1185" s="1">
        <v>4896.16</v>
      </c>
    </row>
    <row r="1186" spans="1:7" hidden="1" x14ac:dyDescent="0.2">
      <c r="A1186">
        <v>850090</v>
      </c>
      <c r="B1186" t="s">
        <v>661</v>
      </c>
      <c r="C1186">
        <v>6</v>
      </c>
      <c r="D1186" s="1">
        <v>5211.6499999999996</v>
      </c>
      <c r="E1186" s="1">
        <v>676.54</v>
      </c>
      <c r="F1186" s="1">
        <v>300</v>
      </c>
      <c r="G1186" s="1">
        <v>5588.19</v>
      </c>
    </row>
    <row r="1187" spans="1:7" hidden="1" x14ac:dyDescent="0.2">
      <c r="A1187">
        <v>850115</v>
      </c>
      <c r="B1187" t="s">
        <v>612</v>
      </c>
      <c r="C1187">
        <v>6</v>
      </c>
      <c r="D1187" s="1">
        <v>-4030.3</v>
      </c>
      <c r="E1187" s="1">
        <v>2710.57</v>
      </c>
      <c r="F1187" s="1">
        <v>0</v>
      </c>
      <c r="G1187" s="1">
        <v>-1319.73</v>
      </c>
    </row>
    <row r="1188" spans="1:7" hidden="1" x14ac:dyDescent="0.2">
      <c r="A1188">
        <v>850145</v>
      </c>
      <c r="B1188" t="s">
        <v>175</v>
      </c>
      <c r="C1188">
        <v>6</v>
      </c>
      <c r="D1188" s="1">
        <v>21315.33</v>
      </c>
      <c r="E1188" s="1">
        <v>841.23</v>
      </c>
      <c r="F1188" s="1">
        <v>0</v>
      </c>
      <c r="G1188" s="1">
        <v>22156.560000000001</v>
      </c>
    </row>
    <row r="1189" spans="1:7" hidden="1" x14ac:dyDescent="0.2">
      <c r="A1189">
        <v>850155</v>
      </c>
      <c r="B1189" t="s">
        <v>613</v>
      </c>
      <c r="C1189">
        <v>6</v>
      </c>
      <c r="D1189" s="1">
        <v>24266.59</v>
      </c>
      <c r="E1189" s="1">
        <v>533.33000000000004</v>
      </c>
      <c r="F1189" s="1">
        <v>0</v>
      </c>
      <c r="G1189" s="1">
        <v>24799.919999999998</v>
      </c>
    </row>
    <row r="1190" spans="1:7" hidden="1" x14ac:dyDescent="0.2">
      <c r="A1190">
        <v>850179</v>
      </c>
      <c r="B1190" t="s">
        <v>662</v>
      </c>
      <c r="C1190">
        <v>6</v>
      </c>
      <c r="D1190" s="1">
        <v>-289204.19</v>
      </c>
      <c r="E1190" s="1">
        <v>3141.08</v>
      </c>
      <c r="F1190" s="1">
        <v>10215.66</v>
      </c>
      <c r="G1190" s="1">
        <v>-296278.77</v>
      </c>
    </row>
    <row r="1191" spans="1:7" hidden="1" x14ac:dyDescent="0.2">
      <c r="A1191">
        <v>850180</v>
      </c>
      <c r="B1191" t="s">
        <v>663</v>
      </c>
      <c r="C1191">
        <v>6</v>
      </c>
      <c r="D1191" s="1">
        <v>9845.4699999999993</v>
      </c>
      <c r="E1191" s="1">
        <v>259.06</v>
      </c>
      <c r="F1191" s="1">
        <v>0</v>
      </c>
      <c r="G1191" s="1">
        <v>10104.530000000001</v>
      </c>
    </row>
    <row r="1192" spans="1:7" hidden="1" x14ac:dyDescent="0.2">
      <c r="A1192">
        <v>850181</v>
      </c>
      <c r="B1192" t="s">
        <v>664</v>
      </c>
      <c r="C1192">
        <v>6</v>
      </c>
      <c r="D1192" s="1">
        <v>15664.21</v>
      </c>
      <c r="E1192" s="1">
        <v>0</v>
      </c>
      <c r="F1192" s="1">
        <v>0</v>
      </c>
      <c r="G1192" s="1">
        <v>15664.21</v>
      </c>
    </row>
    <row r="1193" spans="1:7" hidden="1" x14ac:dyDescent="0.2">
      <c r="A1193">
        <v>850200</v>
      </c>
      <c r="B1193" t="s">
        <v>665</v>
      </c>
      <c r="C1193">
        <v>6</v>
      </c>
      <c r="D1193" s="1">
        <v>-4998209.97</v>
      </c>
      <c r="E1193" s="1">
        <v>0</v>
      </c>
      <c r="F1193" s="1">
        <v>1838375.62</v>
      </c>
      <c r="G1193" s="1">
        <v>-6836585.5899999999</v>
      </c>
    </row>
    <row r="1194" spans="1:7" hidden="1" x14ac:dyDescent="0.2">
      <c r="A1194">
        <v>850500</v>
      </c>
      <c r="B1194" t="s">
        <v>614</v>
      </c>
      <c r="C1194">
        <v>6</v>
      </c>
      <c r="D1194" s="1">
        <v>25031.87</v>
      </c>
      <c r="E1194" s="1">
        <v>2889.84</v>
      </c>
      <c r="F1194" s="1">
        <v>493.2</v>
      </c>
      <c r="G1194" s="1">
        <v>27428.51</v>
      </c>
    </row>
    <row r="1195" spans="1:7" hidden="1" x14ac:dyDescent="0.2">
      <c r="A1195">
        <v>850520</v>
      </c>
      <c r="B1195" t="s">
        <v>868</v>
      </c>
      <c r="C1195">
        <v>6</v>
      </c>
      <c r="D1195" s="1">
        <v>186640</v>
      </c>
      <c r="E1195" s="1">
        <v>0</v>
      </c>
      <c r="F1195" s="1">
        <v>0</v>
      </c>
      <c r="G1195" s="1">
        <v>186640</v>
      </c>
    </row>
    <row r="1196" spans="1:7" hidden="1" x14ac:dyDescent="0.2">
      <c r="A1196">
        <v>856000</v>
      </c>
      <c r="B1196" t="s">
        <v>666</v>
      </c>
      <c r="C1196">
        <v>4</v>
      </c>
      <c r="D1196" s="1">
        <v>2026385.71</v>
      </c>
      <c r="E1196" s="1">
        <v>408095.77</v>
      </c>
      <c r="F1196" s="1">
        <v>6060.31</v>
      </c>
      <c r="G1196" s="1">
        <v>2428421.17</v>
      </c>
    </row>
    <row r="1197" spans="1:7" hidden="1" x14ac:dyDescent="0.2">
      <c r="A1197">
        <v>856105</v>
      </c>
      <c r="B1197" t="s">
        <v>667</v>
      </c>
      <c r="C1197">
        <v>5</v>
      </c>
      <c r="D1197" s="1">
        <v>66423.179999999993</v>
      </c>
      <c r="E1197" s="1">
        <v>8668.9</v>
      </c>
      <c r="F1197" s="1">
        <v>20.16</v>
      </c>
      <c r="G1197" s="1">
        <v>75071.92</v>
      </c>
    </row>
    <row r="1198" spans="1:7" hidden="1" x14ac:dyDescent="0.2">
      <c r="A1198">
        <v>856110</v>
      </c>
      <c r="B1198" t="s">
        <v>1186</v>
      </c>
      <c r="C1198">
        <v>5</v>
      </c>
      <c r="D1198" s="1">
        <v>311.87</v>
      </c>
      <c r="E1198" s="1">
        <v>0</v>
      </c>
      <c r="F1198" s="1">
        <v>0</v>
      </c>
      <c r="G1198" s="1">
        <v>311.87</v>
      </c>
    </row>
    <row r="1199" spans="1:7" hidden="1" x14ac:dyDescent="0.2">
      <c r="A1199">
        <v>856210</v>
      </c>
      <c r="B1199" t="s">
        <v>668</v>
      </c>
      <c r="C1199">
        <v>5</v>
      </c>
      <c r="D1199" s="1">
        <v>1161862.56</v>
      </c>
      <c r="E1199" s="1">
        <v>348156.34</v>
      </c>
      <c r="F1199" s="1">
        <v>0</v>
      </c>
      <c r="G1199" s="1">
        <v>1510018.9</v>
      </c>
    </row>
    <row r="1200" spans="1:7" hidden="1" x14ac:dyDescent="0.2">
      <c r="A1200">
        <v>856220</v>
      </c>
      <c r="B1200" t="s">
        <v>751</v>
      </c>
      <c r="C1200">
        <v>5</v>
      </c>
      <c r="D1200" s="1">
        <v>118123.9</v>
      </c>
      <c r="E1200" s="1">
        <v>0</v>
      </c>
      <c r="F1200" s="1">
        <v>0</v>
      </c>
      <c r="G1200" s="1">
        <v>118123.9</v>
      </c>
    </row>
    <row r="1201" spans="1:7" hidden="1" x14ac:dyDescent="0.2">
      <c r="A1201">
        <v>856510</v>
      </c>
      <c r="B1201" t="s">
        <v>669</v>
      </c>
      <c r="C1201">
        <v>5</v>
      </c>
      <c r="D1201" s="1">
        <v>7672.43</v>
      </c>
      <c r="E1201" s="1">
        <v>340.94</v>
      </c>
      <c r="F1201" s="1">
        <v>0</v>
      </c>
      <c r="G1201" s="1">
        <v>8013.37</v>
      </c>
    </row>
    <row r="1202" spans="1:7" hidden="1" x14ac:dyDescent="0.2">
      <c r="A1202">
        <v>856515</v>
      </c>
      <c r="B1202" t="s">
        <v>670</v>
      </c>
      <c r="C1202">
        <v>5</v>
      </c>
      <c r="D1202" s="1">
        <v>18850.849999999999</v>
      </c>
      <c r="E1202" s="1">
        <v>0</v>
      </c>
      <c r="F1202" s="1">
        <v>6040.15</v>
      </c>
      <c r="G1202" s="1">
        <v>12810.7</v>
      </c>
    </row>
    <row r="1203" spans="1:7" hidden="1" x14ac:dyDescent="0.2">
      <c r="A1203">
        <v>856520</v>
      </c>
      <c r="B1203" t="s">
        <v>801</v>
      </c>
      <c r="C1203">
        <v>5</v>
      </c>
      <c r="D1203" s="1">
        <v>653140.92000000004</v>
      </c>
      <c r="E1203" s="1">
        <v>50929.59</v>
      </c>
      <c r="F1203" s="1">
        <v>0</v>
      </c>
      <c r="G1203" s="1">
        <v>704070.51</v>
      </c>
    </row>
    <row r="1204" spans="1:7" hidden="1" x14ac:dyDescent="0.2">
      <c r="A1204">
        <v>860000</v>
      </c>
      <c r="B1204" t="s">
        <v>671</v>
      </c>
      <c r="C1204">
        <v>4</v>
      </c>
      <c r="D1204" s="1">
        <v>1310308.68</v>
      </c>
      <c r="E1204" s="1">
        <v>10739.36</v>
      </c>
      <c r="F1204" s="1">
        <v>0</v>
      </c>
      <c r="G1204" s="1">
        <v>1321048.04</v>
      </c>
    </row>
    <row r="1205" spans="1:7" hidden="1" x14ac:dyDescent="0.2">
      <c r="A1205">
        <v>860100</v>
      </c>
      <c r="B1205" t="s">
        <v>672</v>
      </c>
      <c r="C1205">
        <v>5</v>
      </c>
      <c r="D1205" s="1">
        <v>1304087.6399999999</v>
      </c>
      <c r="E1205" s="1">
        <v>10739.36</v>
      </c>
      <c r="F1205" s="1">
        <v>0</v>
      </c>
      <c r="G1205" s="1">
        <v>1314827</v>
      </c>
    </row>
    <row r="1206" spans="1:7" hidden="1" x14ac:dyDescent="0.2">
      <c r="A1206">
        <v>860200</v>
      </c>
      <c r="B1206" t="s">
        <v>673</v>
      </c>
      <c r="C1206">
        <v>5</v>
      </c>
      <c r="D1206" s="1">
        <v>0.06</v>
      </c>
      <c r="E1206" s="1">
        <v>0</v>
      </c>
      <c r="F1206" s="1">
        <v>0</v>
      </c>
      <c r="G1206" s="1">
        <v>0.06</v>
      </c>
    </row>
    <row r="1207" spans="1:7" hidden="1" x14ac:dyDescent="0.2">
      <c r="A1207">
        <v>860500</v>
      </c>
      <c r="B1207" t="s">
        <v>674</v>
      </c>
      <c r="C1207">
        <v>5</v>
      </c>
      <c r="D1207" s="1">
        <v>-16159.86</v>
      </c>
      <c r="E1207" s="1">
        <v>0</v>
      </c>
      <c r="F1207" s="1">
        <v>34839.01</v>
      </c>
      <c r="G1207" s="1">
        <v>-50998.87</v>
      </c>
    </row>
    <row r="1208" spans="1:7" hidden="1" x14ac:dyDescent="0.2">
      <c r="A1208">
        <v>860505</v>
      </c>
      <c r="B1208" t="s">
        <v>221</v>
      </c>
      <c r="C1208">
        <v>6</v>
      </c>
      <c r="D1208" s="1">
        <v>-16159.86</v>
      </c>
      <c r="E1208" s="1">
        <v>0</v>
      </c>
      <c r="F1208" s="1">
        <v>34839.01</v>
      </c>
      <c r="G1208" s="1">
        <v>-50998.87</v>
      </c>
    </row>
    <row r="1209" spans="1:7" hidden="1" x14ac:dyDescent="0.2">
      <c r="A1209">
        <v>861000</v>
      </c>
      <c r="B1209" t="s">
        <v>675</v>
      </c>
      <c r="C1209">
        <v>5</v>
      </c>
      <c r="D1209" s="1">
        <v>6220.98</v>
      </c>
      <c r="E1209" s="1">
        <v>0</v>
      </c>
      <c r="F1209" s="1">
        <v>0</v>
      </c>
      <c r="G1209" s="1">
        <v>6220.98</v>
      </c>
    </row>
    <row r="1210" spans="1:7" hidden="1" x14ac:dyDescent="0.2">
      <c r="A1210">
        <v>861100</v>
      </c>
      <c r="B1210" t="s">
        <v>676</v>
      </c>
      <c r="C1210">
        <v>6</v>
      </c>
      <c r="D1210" s="1">
        <v>6220.98</v>
      </c>
      <c r="E1210" s="1">
        <v>0</v>
      </c>
      <c r="F1210" s="1">
        <v>0</v>
      </c>
      <c r="G1210" s="1">
        <v>6220.98</v>
      </c>
    </row>
    <row r="1211" spans="1:7" hidden="1" x14ac:dyDescent="0.2">
      <c r="A1211">
        <v>877000</v>
      </c>
      <c r="B1211" t="s">
        <v>677</v>
      </c>
      <c r="C1211">
        <v>3</v>
      </c>
      <c r="D1211" s="1">
        <v>0</v>
      </c>
      <c r="E1211" s="1">
        <v>714232.17</v>
      </c>
      <c r="F1211" s="1">
        <v>714232.17</v>
      </c>
      <c r="G1211" s="1">
        <v>0</v>
      </c>
    </row>
    <row r="1212" spans="1:7" hidden="1" x14ac:dyDescent="0.2">
      <c r="A1212">
        <v>877280</v>
      </c>
      <c r="B1212" t="s">
        <v>443</v>
      </c>
      <c r="C1212">
        <v>4</v>
      </c>
      <c r="D1212" s="1">
        <v>0</v>
      </c>
      <c r="E1212" s="1">
        <v>147592.12</v>
      </c>
      <c r="F1212" s="1">
        <v>147592.12</v>
      </c>
      <c r="G1212" s="1">
        <v>0</v>
      </c>
    </row>
    <row r="1213" spans="1:7" hidden="1" x14ac:dyDescent="0.2">
      <c r="A1213">
        <v>877285</v>
      </c>
      <c r="B1213" t="s">
        <v>444</v>
      </c>
      <c r="C1213">
        <v>4</v>
      </c>
      <c r="D1213" s="1">
        <v>0</v>
      </c>
      <c r="E1213" s="1">
        <v>1552.92</v>
      </c>
      <c r="F1213" s="1">
        <v>1552.92</v>
      </c>
      <c r="G1213" s="1">
        <v>0</v>
      </c>
    </row>
    <row r="1214" spans="1:7" hidden="1" x14ac:dyDescent="0.2">
      <c r="A1214">
        <v>877290</v>
      </c>
      <c r="B1214" t="s">
        <v>445</v>
      </c>
      <c r="C1214">
        <v>4</v>
      </c>
      <c r="D1214" s="1">
        <v>0</v>
      </c>
      <c r="E1214" s="1">
        <v>23113.25</v>
      </c>
      <c r="F1214" s="1">
        <v>23113.25</v>
      </c>
      <c r="G1214" s="1">
        <v>0</v>
      </c>
    </row>
    <row r="1215" spans="1:7" hidden="1" x14ac:dyDescent="0.2">
      <c r="A1215">
        <v>877295</v>
      </c>
      <c r="B1215" t="s">
        <v>446</v>
      </c>
      <c r="C1215">
        <v>4</v>
      </c>
      <c r="D1215" s="1">
        <v>0</v>
      </c>
      <c r="E1215" s="1">
        <v>18089.849999999999</v>
      </c>
      <c r="F1215" s="1">
        <v>18089.849999999999</v>
      </c>
      <c r="G1215" s="1">
        <v>0</v>
      </c>
    </row>
    <row r="1216" spans="1:7" hidden="1" x14ac:dyDescent="0.2">
      <c r="A1216">
        <v>877310</v>
      </c>
      <c r="B1216" t="s">
        <v>535</v>
      </c>
      <c r="C1216">
        <v>4</v>
      </c>
      <c r="D1216" s="1">
        <v>0</v>
      </c>
      <c r="E1216" s="1">
        <v>376658.68</v>
      </c>
      <c r="F1216" s="1">
        <v>376658.68</v>
      </c>
      <c r="G1216" s="1">
        <v>0</v>
      </c>
    </row>
    <row r="1217" spans="1:7" hidden="1" x14ac:dyDescent="0.2">
      <c r="A1217">
        <v>877315</v>
      </c>
      <c r="B1217" t="s">
        <v>534</v>
      </c>
      <c r="C1217">
        <v>4</v>
      </c>
      <c r="D1217" s="1">
        <v>0</v>
      </c>
      <c r="E1217" s="1">
        <v>76929.64</v>
      </c>
      <c r="F1217" s="1">
        <v>76929.64</v>
      </c>
      <c r="G1217" s="1">
        <v>0</v>
      </c>
    </row>
    <row r="1218" spans="1:7" hidden="1" x14ac:dyDescent="0.2">
      <c r="A1218">
        <v>877320</v>
      </c>
      <c r="B1218" t="s">
        <v>536</v>
      </c>
      <c r="C1218">
        <v>4</v>
      </c>
      <c r="D1218" s="1">
        <v>0</v>
      </c>
      <c r="E1218" s="1">
        <v>38065.279999999999</v>
      </c>
      <c r="F1218" s="1">
        <v>38065.279999999999</v>
      </c>
      <c r="G1218" s="1">
        <v>0</v>
      </c>
    </row>
    <row r="1219" spans="1:7" hidden="1" x14ac:dyDescent="0.2">
      <c r="A1219">
        <v>877325</v>
      </c>
      <c r="B1219" t="s">
        <v>532</v>
      </c>
      <c r="C1219">
        <v>4</v>
      </c>
      <c r="D1219" s="1">
        <v>0</v>
      </c>
      <c r="E1219" s="1">
        <v>396</v>
      </c>
      <c r="F1219" s="1">
        <v>396</v>
      </c>
      <c r="G1219" s="1">
        <v>0</v>
      </c>
    </row>
    <row r="1220" spans="1:7" hidden="1" x14ac:dyDescent="0.2">
      <c r="A1220">
        <v>877340</v>
      </c>
      <c r="B1220" t="s">
        <v>678</v>
      </c>
      <c r="C1220">
        <v>4</v>
      </c>
      <c r="D1220" s="1">
        <v>0</v>
      </c>
      <c r="E1220" s="1">
        <v>31834.43</v>
      </c>
      <c r="F1220" s="1">
        <v>31834.43</v>
      </c>
      <c r="G1220" s="1">
        <v>0</v>
      </c>
    </row>
    <row r="1221" spans="1:7" hidden="1" x14ac:dyDescent="0.2">
      <c r="A1221">
        <v>900000</v>
      </c>
      <c r="B1221" t="s">
        <v>802</v>
      </c>
      <c r="C1221">
        <v>1</v>
      </c>
      <c r="D1221" s="1">
        <v>-24900488.460000001</v>
      </c>
      <c r="E1221" s="1">
        <v>7598317.71</v>
      </c>
      <c r="F1221" s="1">
        <v>5763912.75</v>
      </c>
      <c r="G1221" s="1">
        <v>-26734893.420000002</v>
      </c>
    </row>
  </sheetData>
  <autoFilter ref="A4:H1221" xr:uid="{4498C317-03C7-4DFF-B8E2-50BD1CEE4F7B}">
    <filterColumn colId="0">
      <colorFilter dxfId="0"/>
    </filterColumn>
    <sortState xmlns:xlrd2="http://schemas.microsoft.com/office/spreadsheetml/2017/richdata2" ref="A5:H1035">
      <sortCondition sortBy="cellColor" ref="A4:A1035" dxfId="1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CD718-2F18-4FDF-A61D-EFD2225E9227}">
  <sheetPr>
    <tabColor rgb="FF92D050"/>
  </sheetPr>
  <dimension ref="A1:L123"/>
  <sheetViews>
    <sheetView zoomScale="80" zoomScaleNormal="80" workbookViewId="0">
      <selection activeCell="F104" sqref="F104"/>
    </sheetView>
  </sheetViews>
  <sheetFormatPr defaultRowHeight="12.75" x14ac:dyDescent="0.2"/>
  <cols>
    <col min="1" max="1" width="12" customWidth="1"/>
    <col min="2" max="2" width="50.7109375" customWidth="1"/>
    <col min="3" max="3" width="12.42578125" bestFit="1" customWidth="1"/>
    <col min="4" max="5" width="17" bestFit="1" customWidth="1"/>
    <col min="6" max="6" width="18.140625" bestFit="1" customWidth="1"/>
    <col min="7" max="7" width="14.140625" bestFit="1" customWidth="1"/>
    <col min="8" max="11" width="17" bestFit="1" customWidth="1"/>
    <col min="12" max="12" width="12.28515625" bestFit="1" customWidth="1"/>
  </cols>
  <sheetData>
    <row r="1" spans="1:12" ht="15" x14ac:dyDescent="0.25">
      <c r="A1" s="80" t="s">
        <v>894</v>
      </c>
      <c r="B1" s="80"/>
      <c r="C1" s="80"/>
      <c r="D1" s="117"/>
      <c r="E1" s="117"/>
      <c r="F1" s="117"/>
      <c r="G1" s="117"/>
      <c r="H1" s="117"/>
      <c r="I1" s="117"/>
      <c r="J1" s="117"/>
      <c r="K1" s="117"/>
      <c r="L1" s="117"/>
    </row>
    <row r="2" spans="1:12" ht="15" x14ac:dyDescent="0.25">
      <c r="A2" s="80" t="s">
        <v>1302</v>
      </c>
      <c r="B2" s="80"/>
      <c r="C2" s="80"/>
      <c r="D2" s="117"/>
      <c r="E2" s="117"/>
      <c r="F2" s="117"/>
      <c r="G2" s="117"/>
      <c r="H2" s="117"/>
      <c r="I2" s="117"/>
      <c r="J2" s="117"/>
      <c r="K2" s="117"/>
      <c r="L2" s="117"/>
    </row>
    <row r="3" spans="1:12" ht="15.75" thickBot="1" x14ac:dyDescent="0.3">
      <c r="A3" s="80" t="s">
        <v>895</v>
      </c>
      <c r="B3" s="80"/>
      <c r="C3" s="80"/>
      <c r="D3" s="117"/>
      <c r="E3" s="117"/>
      <c r="F3" s="117"/>
      <c r="G3" s="117"/>
      <c r="H3" s="117"/>
      <c r="I3" s="117"/>
      <c r="J3" s="117"/>
      <c r="K3" s="117"/>
      <c r="L3" s="117"/>
    </row>
    <row r="4" spans="1:12" ht="15.75" thickTop="1" x14ac:dyDescent="0.25">
      <c r="A4" s="126" t="s">
        <v>965</v>
      </c>
      <c r="B4" s="81" t="s">
        <v>896</v>
      </c>
      <c r="C4" s="81" t="s">
        <v>897</v>
      </c>
      <c r="D4" s="127" t="s">
        <v>898</v>
      </c>
      <c r="E4" s="127" t="s">
        <v>899</v>
      </c>
      <c r="F4" s="127" t="s">
        <v>898</v>
      </c>
      <c r="G4" s="127" t="s">
        <v>900</v>
      </c>
      <c r="H4" s="127" t="s">
        <v>900</v>
      </c>
      <c r="I4" s="127" t="s">
        <v>898</v>
      </c>
      <c r="J4" s="127" t="s">
        <v>899</v>
      </c>
      <c r="K4" s="127" t="s">
        <v>900</v>
      </c>
      <c r="L4" s="128" t="s">
        <v>901</v>
      </c>
    </row>
    <row r="5" spans="1:12" ht="15" x14ac:dyDescent="0.25">
      <c r="A5" s="129"/>
      <c r="B5" s="82" t="s">
        <v>902</v>
      </c>
      <c r="C5" s="82" t="s">
        <v>903</v>
      </c>
      <c r="D5" s="130" t="s">
        <v>904</v>
      </c>
      <c r="E5" s="130" t="s">
        <v>905</v>
      </c>
      <c r="F5" s="130" t="s">
        <v>906</v>
      </c>
      <c r="G5" s="130" t="s">
        <v>907</v>
      </c>
      <c r="H5" s="130" t="s">
        <v>905</v>
      </c>
      <c r="I5" s="130" t="s">
        <v>908</v>
      </c>
      <c r="J5" s="130">
        <v>8200</v>
      </c>
      <c r="K5" s="130">
        <v>8200</v>
      </c>
      <c r="L5" s="131">
        <v>8200</v>
      </c>
    </row>
    <row r="6" spans="1:12" x14ac:dyDescent="0.2">
      <c r="A6" s="86"/>
      <c r="B6" s="84" t="s">
        <v>909</v>
      </c>
      <c r="C6" s="84">
        <v>924</v>
      </c>
      <c r="D6" s="104">
        <v>2638432.0699999998</v>
      </c>
      <c r="E6" s="104">
        <v>0</v>
      </c>
      <c r="F6" s="104">
        <v>2638432.0699999998</v>
      </c>
      <c r="G6" s="104">
        <v>16129.39</v>
      </c>
      <c r="H6" s="104">
        <v>1671891.25</v>
      </c>
      <c r="I6" s="104">
        <v>966540.82</v>
      </c>
      <c r="J6" s="104">
        <v>0</v>
      </c>
      <c r="K6" s="104">
        <v>0</v>
      </c>
      <c r="L6" s="105">
        <v>0</v>
      </c>
    </row>
    <row r="7" spans="1:12" x14ac:dyDescent="0.2">
      <c r="A7" s="86">
        <v>124110</v>
      </c>
      <c r="B7" s="84" t="s">
        <v>910</v>
      </c>
      <c r="C7" s="84">
        <v>29</v>
      </c>
      <c r="D7" s="104">
        <v>94959.72</v>
      </c>
      <c r="E7" s="104">
        <v>0</v>
      </c>
      <c r="F7" s="104">
        <v>94959.72</v>
      </c>
      <c r="G7" s="104">
        <v>5275.54</v>
      </c>
      <c r="H7" s="104">
        <v>79132.94</v>
      </c>
      <c r="I7" s="104">
        <v>15826.78</v>
      </c>
      <c r="J7" s="104">
        <v>0</v>
      </c>
      <c r="K7" s="104">
        <v>0</v>
      </c>
      <c r="L7" s="105">
        <v>0</v>
      </c>
    </row>
    <row r="8" spans="1:12" x14ac:dyDescent="0.2">
      <c r="A8" s="86">
        <v>124820</v>
      </c>
      <c r="B8" s="84" t="s">
        <v>911</v>
      </c>
      <c r="C8" s="84">
        <v>79</v>
      </c>
      <c r="D8" s="104">
        <v>919939.93</v>
      </c>
      <c r="E8" s="104">
        <v>0</v>
      </c>
      <c r="F8" s="104">
        <v>919939.93</v>
      </c>
      <c r="G8" s="104">
        <v>7610.33</v>
      </c>
      <c r="H8" s="104">
        <v>93929.279999999999</v>
      </c>
      <c r="I8" s="104">
        <v>826010.65</v>
      </c>
      <c r="J8" s="104">
        <v>0</v>
      </c>
      <c r="K8" s="104">
        <v>0</v>
      </c>
      <c r="L8" s="105">
        <v>0</v>
      </c>
    </row>
    <row r="9" spans="1:12" x14ac:dyDescent="0.2">
      <c r="A9" s="86">
        <v>145310</v>
      </c>
      <c r="B9" s="84" t="s">
        <v>912</v>
      </c>
      <c r="C9" s="84">
        <v>90</v>
      </c>
      <c r="D9" s="104">
        <v>509509.07</v>
      </c>
      <c r="E9" s="104">
        <v>0</v>
      </c>
      <c r="F9" s="104">
        <v>509509.07</v>
      </c>
      <c r="G9" s="104">
        <v>3243.52</v>
      </c>
      <c r="H9" s="104">
        <v>384805.68</v>
      </c>
      <c r="I9" s="104">
        <v>124703.39</v>
      </c>
      <c r="J9" s="104">
        <v>0</v>
      </c>
      <c r="K9" s="104">
        <v>0</v>
      </c>
      <c r="L9" s="105">
        <v>0</v>
      </c>
    </row>
    <row r="10" spans="1:12" x14ac:dyDescent="0.2">
      <c r="A10" s="86" t="s">
        <v>946</v>
      </c>
      <c r="B10" s="84" t="s">
        <v>913</v>
      </c>
      <c r="C10" s="84">
        <v>726</v>
      </c>
      <c r="D10" s="104">
        <v>1114023.3500000001</v>
      </c>
      <c r="E10" s="104">
        <v>0</v>
      </c>
      <c r="F10" s="104">
        <v>1114023.3500000001</v>
      </c>
      <c r="G10" s="104">
        <v>0</v>
      </c>
      <c r="H10" s="104">
        <v>1114023.3500000001</v>
      </c>
      <c r="I10" s="104">
        <v>0</v>
      </c>
      <c r="J10" s="104">
        <v>0</v>
      </c>
      <c r="K10" s="104">
        <v>0</v>
      </c>
      <c r="L10" s="105">
        <v>0</v>
      </c>
    </row>
    <row r="11" spans="1:12" x14ac:dyDescent="0.2">
      <c r="A11" s="86"/>
      <c r="B11" s="84" t="s">
        <v>902</v>
      </c>
      <c r="C11" s="84" t="s">
        <v>903</v>
      </c>
      <c r="D11" s="104" t="s">
        <v>914</v>
      </c>
      <c r="E11" s="104" t="s">
        <v>914</v>
      </c>
      <c r="F11" s="104" t="s">
        <v>914</v>
      </c>
      <c r="G11" s="104" t="s">
        <v>914</v>
      </c>
      <c r="H11" s="104" t="s">
        <v>914</v>
      </c>
      <c r="I11" s="104" t="s">
        <v>914</v>
      </c>
      <c r="J11" s="104" t="s">
        <v>914</v>
      </c>
      <c r="K11" s="104" t="s">
        <v>914</v>
      </c>
      <c r="L11" s="105"/>
    </row>
    <row r="12" spans="1:12" x14ac:dyDescent="0.2">
      <c r="A12" s="86">
        <v>124225</v>
      </c>
      <c r="B12" s="84" t="s">
        <v>915</v>
      </c>
      <c r="C12" s="84">
        <v>751</v>
      </c>
      <c r="D12" s="104">
        <v>19903245.449999999</v>
      </c>
      <c r="E12" s="104">
        <v>21876126.32</v>
      </c>
      <c r="F12" s="104">
        <v>41779371.770000003</v>
      </c>
      <c r="G12" s="104">
        <v>26411.56</v>
      </c>
      <c r="H12" s="104">
        <v>40596452.850000001</v>
      </c>
      <c r="I12" s="104">
        <v>1182918.92</v>
      </c>
      <c r="J12" s="104">
        <v>18823804.25</v>
      </c>
      <c r="K12" s="104">
        <v>18823804.239999998</v>
      </c>
      <c r="L12" s="105">
        <v>0.01</v>
      </c>
    </row>
    <row r="13" spans="1:12" x14ac:dyDescent="0.2">
      <c r="A13" s="86"/>
      <c r="B13" s="84" t="s">
        <v>1187</v>
      </c>
      <c r="C13" s="84">
        <v>158</v>
      </c>
      <c r="D13" s="104">
        <v>11696106.939999999</v>
      </c>
      <c r="E13" s="104">
        <v>2217204.2400000002</v>
      </c>
      <c r="F13" s="104">
        <v>13913311.18</v>
      </c>
      <c r="G13" s="104">
        <v>7158.37</v>
      </c>
      <c r="H13" s="104">
        <v>13795216.890000001</v>
      </c>
      <c r="I13" s="104">
        <v>118094.29</v>
      </c>
      <c r="J13" s="104">
        <v>8388849.5</v>
      </c>
      <c r="K13" s="104">
        <v>8388849.5</v>
      </c>
      <c r="L13" s="105">
        <v>0</v>
      </c>
    </row>
    <row r="14" spans="1:12" x14ac:dyDescent="0.2">
      <c r="A14" s="86"/>
      <c r="B14" s="84" t="s">
        <v>1188</v>
      </c>
      <c r="C14" s="84">
        <v>344</v>
      </c>
      <c r="D14" s="104">
        <v>3513574.49</v>
      </c>
      <c r="E14" s="104">
        <v>19617903.48</v>
      </c>
      <c r="F14" s="104">
        <v>23131477.969999999</v>
      </c>
      <c r="G14" s="104">
        <v>5082.16</v>
      </c>
      <c r="H14" s="104">
        <v>23034534.210000001</v>
      </c>
      <c r="I14" s="104">
        <v>96943.76</v>
      </c>
      <c r="J14" s="104">
        <v>10434954.75</v>
      </c>
      <c r="K14" s="104">
        <v>10434954.74</v>
      </c>
      <c r="L14" s="105">
        <v>0.01</v>
      </c>
    </row>
    <row r="15" spans="1:12" x14ac:dyDescent="0.2">
      <c r="A15" s="86"/>
      <c r="B15" s="84" t="s">
        <v>1189</v>
      </c>
      <c r="C15" s="84">
        <v>5</v>
      </c>
      <c r="D15" s="104">
        <v>160330</v>
      </c>
      <c r="E15" s="104">
        <v>0</v>
      </c>
      <c r="F15" s="104">
        <v>160330</v>
      </c>
      <c r="G15" s="104">
        <v>534.42999999999995</v>
      </c>
      <c r="H15" s="104">
        <v>123721.21</v>
      </c>
      <c r="I15" s="104">
        <v>36608.79</v>
      </c>
      <c r="J15" s="104">
        <v>0</v>
      </c>
      <c r="K15" s="104">
        <v>0</v>
      </c>
      <c r="L15" s="105">
        <v>0</v>
      </c>
    </row>
    <row r="16" spans="1:12" x14ac:dyDescent="0.2">
      <c r="A16" s="86"/>
      <c r="B16" s="84" t="s">
        <v>1190</v>
      </c>
      <c r="C16" s="84">
        <v>1</v>
      </c>
      <c r="D16" s="104">
        <v>356732.68</v>
      </c>
      <c r="E16" s="104">
        <v>0</v>
      </c>
      <c r="F16" s="104">
        <v>356732.68</v>
      </c>
      <c r="G16" s="104">
        <v>0</v>
      </c>
      <c r="H16" s="104">
        <v>356732.68</v>
      </c>
      <c r="I16" s="104">
        <v>0</v>
      </c>
      <c r="J16" s="104">
        <v>0</v>
      </c>
      <c r="K16" s="104">
        <v>0</v>
      </c>
      <c r="L16" s="105">
        <v>0</v>
      </c>
    </row>
    <row r="17" spans="1:12" x14ac:dyDescent="0.2">
      <c r="A17" s="86"/>
      <c r="B17" s="84" t="s">
        <v>1191</v>
      </c>
      <c r="C17" s="84">
        <v>25</v>
      </c>
      <c r="D17" s="104">
        <v>121849.56</v>
      </c>
      <c r="E17" s="104">
        <v>41018.6</v>
      </c>
      <c r="F17" s="104">
        <v>162868.16</v>
      </c>
      <c r="G17" s="104">
        <v>120.83</v>
      </c>
      <c r="H17" s="104">
        <v>161640.74</v>
      </c>
      <c r="I17" s="104">
        <v>1227.42</v>
      </c>
      <c r="J17" s="104">
        <v>0</v>
      </c>
      <c r="K17" s="104">
        <v>0</v>
      </c>
      <c r="L17" s="105">
        <v>0</v>
      </c>
    </row>
    <row r="18" spans="1:12" x14ac:dyDescent="0.2">
      <c r="A18" s="86"/>
      <c r="B18" s="84" t="s">
        <v>1192</v>
      </c>
      <c r="C18" s="84">
        <v>216</v>
      </c>
      <c r="D18" s="104">
        <v>4052901.78</v>
      </c>
      <c r="E18" s="104">
        <v>0</v>
      </c>
      <c r="F18" s="104">
        <v>4052901.78</v>
      </c>
      <c r="G18" s="104">
        <v>13509.93</v>
      </c>
      <c r="H18" s="104">
        <v>3123382.08</v>
      </c>
      <c r="I18" s="104">
        <v>929519.7</v>
      </c>
      <c r="J18" s="104">
        <v>0</v>
      </c>
      <c r="K18" s="104">
        <v>0</v>
      </c>
      <c r="L18" s="105">
        <v>0</v>
      </c>
    </row>
    <row r="19" spans="1:12" x14ac:dyDescent="0.2">
      <c r="A19" s="86"/>
      <c r="B19" s="84" t="s">
        <v>1193</v>
      </c>
      <c r="C19" s="84">
        <v>2</v>
      </c>
      <c r="D19" s="104">
        <v>1750</v>
      </c>
      <c r="E19" s="104">
        <v>0</v>
      </c>
      <c r="F19" s="104">
        <v>1750</v>
      </c>
      <c r="G19" s="104">
        <v>5.84</v>
      </c>
      <c r="H19" s="104">
        <v>1225.04</v>
      </c>
      <c r="I19" s="104">
        <v>524.96</v>
      </c>
      <c r="J19" s="104">
        <v>0</v>
      </c>
      <c r="K19" s="104">
        <v>0</v>
      </c>
      <c r="L19" s="105">
        <v>0</v>
      </c>
    </row>
    <row r="20" spans="1:12" x14ac:dyDescent="0.2">
      <c r="A20" s="86"/>
      <c r="B20" s="84" t="s">
        <v>902</v>
      </c>
      <c r="C20" s="84" t="s">
        <v>903</v>
      </c>
      <c r="D20" s="104" t="s">
        <v>914</v>
      </c>
      <c r="E20" s="104" t="s">
        <v>914</v>
      </c>
      <c r="F20" s="104" t="s">
        <v>914</v>
      </c>
      <c r="G20" s="104" t="s">
        <v>914</v>
      </c>
      <c r="H20" s="104" t="s">
        <v>914</v>
      </c>
      <c r="I20" s="104" t="s">
        <v>914</v>
      </c>
      <c r="J20" s="104" t="s">
        <v>914</v>
      </c>
      <c r="K20" s="104" t="s">
        <v>914</v>
      </c>
      <c r="L20" s="105"/>
    </row>
    <row r="21" spans="1:12" x14ac:dyDescent="0.2">
      <c r="A21" s="86">
        <v>124255</v>
      </c>
      <c r="B21" s="84" t="s">
        <v>916</v>
      </c>
      <c r="C21" s="132">
        <v>1978</v>
      </c>
      <c r="D21" s="104">
        <v>2398909.71</v>
      </c>
      <c r="E21" s="104">
        <v>0</v>
      </c>
      <c r="F21" s="104">
        <v>2398909.71</v>
      </c>
      <c r="G21" s="104">
        <f>21047.11-G100</f>
        <v>16889.82</v>
      </c>
      <c r="H21" s="104">
        <v>1716695.01</v>
      </c>
      <c r="I21" s="104">
        <v>682214.7</v>
      </c>
      <c r="J21" s="104">
        <v>0</v>
      </c>
      <c r="K21" s="104">
        <v>0</v>
      </c>
      <c r="L21" s="105">
        <v>0</v>
      </c>
    </row>
    <row r="22" spans="1:12" x14ac:dyDescent="0.2">
      <c r="A22" s="86"/>
      <c r="B22" s="84" t="s">
        <v>1194</v>
      </c>
      <c r="C22" s="84">
        <v>131</v>
      </c>
      <c r="D22" s="104">
        <v>330433.96000000002</v>
      </c>
      <c r="E22" s="104">
        <v>0</v>
      </c>
      <c r="F22" s="104">
        <v>330433.96000000002</v>
      </c>
      <c r="G22" s="104">
        <v>2565.79</v>
      </c>
      <c r="H22" s="104">
        <v>304776.36</v>
      </c>
      <c r="I22" s="104">
        <v>25657.599999999999</v>
      </c>
      <c r="J22" s="104">
        <v>0</v>
      </c>
      <c r="K22" s="104">
        <v>0</v>
      </c>
      <c r="L22" s="105">
        <v>0</v>
      </c>
    </row>
    <row r="23" spans="1:12" x14ac:dyDescent="0.2">
      <c r="A23" s="86"/>
      <c r="B23" s="84" t="s">
        <v>1195</v>
      </c>
      <c r="C23" s="84">
        <v>46</v>
      </c>
      <c r="D23" s="104">
        <v>65906.81</v>
      </c>
      <c r="E23" s="104">
        <v>0</v>
      </c>
      <c r="F23" s="104">
        <v>65906.81</v>
      </c>
      <c r="G23" s="104">
        <v>920.48</v>
      </c>
      <c r="H23" s="104">
        <v>47208.33</v>
      </c>
      <c r="I23" s="104">
        <v>18698.48</v>
      </c>
      <c r="J23" s="104">
        <v>0</v>
      </c>
      <c r="K23" s="104">
        <v>0</v>
      </c>
      <c r="L23" s="105">
        <v>0</v>
      </c>
    </row>
    <row r="24" spans="1:12" x14ac:dyDescent="0.2">
      <c r="A24" s="86"/>
      <c r="B24" s="84" t="s">
        <v>1196</v>
      </c>
      <c r="C24" s="84">
        <v>3</v>
      </c>
      <c r="D24" s="104">
        <v>2685.07</v>
      </c>
      <c r="E24" s="104">
        <v>0</v>
      </c>
      <c r="F24" s="104">
        <v>2685.07</v>
      </c>
      <c r="G24" s="104">
        <v>44.75</v>
      </c>
      <c r="H24" s="104">
        <v>2011.82</v>
      </c>
      <c r="I24" s="104">
        <v>673.25</v>
      </c>
      <c r="J24" s="104">
        <v>0</v>
      </c>
      <c r="K24" s="104">
        <v>0</v>
      </c>
      <c r="L24" s="105">
        <v>0</v>
      </c>
    </row>
    <row r="25" spans="1:12" x14ac:dyDescent="0.2">
      <c r="A25" s="86"/>
      <c r="B25" s="84" t="s">
        <v>1197</v>
      </c>
      <c r="C25" s="84">
        <v>5</v>
      </c>
      <c r="D25" s="104">
        <v>9542.01</v>
      </c>
      <c r="E25" s="104">
        <v>0</v>
      </c>
      <c r="F25" s="104">
        <v>9542.01</v>
      </c>
      <c r="G25" s="104">
        <v>67.37</v>
      </c>
      <c r="H25" s="104">
        <v>8387.67</v>
      </c>
      <c r="I25" s="104">
        <v>1154.3399999999999</v>
      </c>
      <c r="J25" s="104">
        <v>0</v>
      </c>
      <c r="K25" s="104">
        <v>0</v>
      </c>
      <c r="L25" s="105">
        <v>0</v>
      </c>
    </row>
    <row r="26" spans="1:12" x14ac:dyDescent="0.2">
      <c r="A26" s="86"/>
      <c r="B26" s="84" t="s">
        <v>1198</v>
      </c>
      <c r="C26" s="84">
        <v>1</v>
      </c>
      <c r="D26" s="104">
        <v>1699.01</v>
      </c>
      <c r="E26" s="104">
        <v>0</v>
      </c>
      <c r="F26" s="104">
        <v>1699.01</v>
      </c>
      <c r="G26" s="104">
        <v>28.32</v>
      </c>
      <c r="H26" s="104">
        <v>764.55</v>
      </c>
      <c r="I26" s="104">
        <v>934.46</v>
      </c>
      <c r="J26" s="104">
        <v>0</v>
      </c>
      <c r="K26" s="104">
        <v>0</v>
      </c>
      <c r="L26" s="105">
        <v>0</v>
      </c>
    </row>
    <row r="27" spans="1:12" x14ac:dyDescent="0.2">
      <c r="A27" s="86"/>
      <c r="B27" s="84" t="s">
        <v>1199</v>
      </c>
      <c r="C27" s="84">
        <v>4</v>
      </c>
      <c r="D27" s="104">
        <v>10000</v>
      </c>
      <c r="E27" s="104">
        <v>0</v>
      </c>
      <c r="F27" s="104">
        <v>10000</v>
      </c>
      <c r="G27" s="104">
        <v>0</v>
      </c>
      <c r="H27" s="104">
        <v>10000</v>
      </c>
      <c r="I27" s="104">
        <v>0</v>
      </c>
      <c r="J27" s="104">
        <v>0</v>
      </c>
      <c r="K27" s="104">
        <v>0</v>
      </c>
      <c r="L27" s="105">
        <v>0</v>
      </c>
    </row>
    <row r="28" spans="1:12" x14ac:dyDescent="0.2">
      <c r="A28" s="86"/>
      <c r="B28" s="84" t="s">
        <v>1200</v>
      </c>
      <c r="C28" s="84">
        <v>11</v>
      </c>
      <c r="D28" s="104">
        <v>61375.22</v>
      </c>
      <c r="E28" s="104">
        <v>0</v>
      </c>
      <c r="F28" s="104">
        <v>61375.22</v>
      </c>
      <c r="G28" s="104">
        <v>1003.2</v>
      </c>
      <c r="H28" s="104">
        <v>18388.310000000001</v>
      </c>
      <c r="I28" s="104">
        <v>42986.91</v>
      </c>
      <c r="J28" s="104">
        <v>0</v>
      </c>
      <c r="K28" s="104">
        <v>0</v>
      </c>
      <c r="L28" s="105">
        <v>0</v>
      </c>
    </row>
    <row r="29" spans="1:12" x14ac:dyDescent="0.2">
      <c r="A29" s="86"/>
      <c r="B29" s="84" t="s">
        <v>1201</v>
      </c>
      <c r="C29" s="84">
        <v>5</v>
      </c>
      <c r="D29" s="104">
        <v>52698.44</v>
      </c>
      <c r="E29" s="104">
        <v>0</v>
      </c>
      <c r="F29" s="104">
        <v>52698.44</v>
      </c>
      <c r="G29" s="104">
        <v>282.36</v>
      </c>
      <c r="H29" s="104">
        <v>42532.959999999999</v>
      </c>
      <c r="I29" s="104">
        <v>10165.48</v>
      </c>
      <c r="J29" s="104">
        <v>0</v>
      </c>
      <c r="K29" s="104">
        <v>0</v>
      </c>
      <c r="L29" s="105">
        <v>0</v>
      </c>
    </row>
    <row r="30" spans="1:12" x14ac:dyDescent="0.2">
      <c r="A30" s="86"/>
      <c r="B30" s="84" t="s">
        <v>1202</v>
      </c>
      <c r="C30" s="84">
        <v>2</v>
      </c>
      <c r="D30" s="104">
        <v>1065</v>
      </c>
      <c r="E30" s="104">
        <v>0</v>
      </c>
      <c r="F30" s="104">
        <v>1065</v>
      </c>
      <c r="G30" s="104">
        <v>17.75</v>
      </c>
      <c r="H30" s="104">
        <v>606.77</v>
      </c>
      <c r="I30" s="104">
        <v>458.23</v>
      </c>
      <c r="J30" s="104">
        <v>0</v>
      </c>
      <c r="K30" s="104">
        <v>0</v>
      </c>
      <c r="L30" s="105">
        <v>0</v>
      </c>
    </row>
    <row r="31" spans="1:12" x14ac:dyDescent="0.2">
      <c r="A31" s="86"/>
      <c r="B31" s="84" t="s">
        <v>1203</v>
      </c>
      <c r="C31" s="84">
        <v>63</v>
      </c>
      <c r="D31" s="104">
        <v>83835.37</v>
      </c>
      <c r="E31" s="104">
        <v>0</v>
      </c>
      <c r="F31" s="104">
        <v>83835.37</v>
      </c>
      <c r="G31" s="104">
        <v>425.22</v>
      </c>
      <c r="H31" s="104">
        <v>65813.33</v>
      </c>
      <c r="I31" s="104">
        <v>18022.04</v>
      </c>
      <c r="J31" s="104">
        <v>0</v>
      </c>
      <c r="K31" s="104">
        <v>0</v>
      </c>
      <c r="L31" s="105">
        <v>0</v>
      </c>
    </row>
    <row r="32" spans="1:12" x14ac:dyDescent="0.2">
      <c r="A32" s="86"/>
      <c r="B32" s="84" t="s">
        <v>1204</v>
      </c>
      <c r="C32" s="84">
        <v>15</v>
      </c>
      <c r="D32" s="104">
        <v>92341.83</v>
      </c>
      <c r="E32" s="104">
        <v>0</v>
      </c>
      <c r="F32" s="104">
        <v>92341.83</v>
      </c>
      <c r="G32" s="104">
        <v>1059.98</v>
      </c>
      <c r="H32" s="104">
        <v>69984.11</v>
      </c>
      <c r="I32" s="104">
        <v>22357.72</v>
      </c>
      <c r="J32" s="104">
        <v>0</v>
      </c>
      <c r="K32" s="104">
        <v>0</v>
      </c>
      <c r="L32" s="105">
        <v>0</v>
      </c>
    </row>
    <row r="33" spans="1:12" x14ac:dyDescent="0.2">
      <c r="A33" s="86"/>
      <c r="B33" s="84" t="s">
        <v>1205</v>
      </c>
      <c r="C33" s="84">
        <v>344</v>
      </c>
      <c r="D33" s="104">
        <v>591913.15</v>
      </c>
      <c r="E33" s="104">
        <v>0</v>
      </c>
      <c r="F33" s="104">
        <v>591913.15</v>
      </c>
      <c r="G33" s="104">
        <v>6642.65</v>
      </c>
      <c r="H33" s="104">
        <v>340382.51</v>
      </c>
      <c r="I33" s="104">
        <v>251530.64</v>
      </c>
      <c r="J33" s="104">
        <v>0</v>
      </c>
      <c r="K33" s="104">
        <v>0</v>
      </c>
      <c r="L33" s="105">
        <v>0</v>
      </c>
    </row>
    <row r="34" spans="1:12" x14ac:dyDescent="0.2">
      <c r="A34" s="86"/>
      <c r="B34" s="84" t="s">
        <v>1206</v>
      </c>
      <c r="C34" s="84">
        <v>339</v>
      </c>
      <c r="D34" s="104">
        <v>152566.44</v>
      </c>
      <c r="E34" s="104">
        <v>0</v>
      </c>
      <c r="F34" s="104">
        <v>152566.44</v>
      </c>
      <c r="G34" s="104">
        <v>1664.1</v>
      </c>
      <c r="H34" s="104">
        <v>83189.320000000007</v>
      </c>
      <c r="I34" s="104">
        <v>69377.119999999995</v>
      </c>
      <c r="J34" s="104">
        <v>0</v>
      </c>
      <c r="K34" s="104">
        <v>0</v>
      </c>
      <c r="L34" s="105">
        <v>0</v>
      </c>
    </row>
    <row r="35" spans="1:12" x14ac:dyDescent="0.2">
      <c r="A35" s="86"/>
      <c r="B35" s="84" t="s">
        <v>1207</v>
      </c>
      <c r="C35" s="84">
        <v>75</v>
      </c>
      <c r="D35" s="104">
        <v>181031.48</v>
      </c>
      <c r="E35" s="104">
        <v>0</v>
      </c>
      <c r="F35" s="104">
        <v>181031.48</v>
      </c>
      <c r="G35" s="104">
        <v>2762.07</v>
      </c>
      <c r="H35" s="104">
        <v>54260.02</v>
      </c>
      <c r="I35" s="104">
        <v>126771.46</v>
      </c>
      <c r="J35" s="104">
        <v>0</v>
      </c>
      <c r="K35" s="104">
        <v>0</v>
      </c>
      <c r="L35" s="105">
        <v>0</v>
      </c>
    </row>
    <row r="36" spans="1:12" x14ac:dyDescent="0.2">
      <c r="A36" s="86"/>
      <c r="B36" s="84" t="s">
        <v>1208</v>
      </c>
      <c r="C36" s="84">
        <v>12</v>
      </c>
      <c r="D36" s="104">
        <v>2158.69</v>
      </c>
      <c r="E36" s="104">
        <v>0</v>
      </c>
      <c r="F36" s="104">
        <v>2158.69</v>
      </c>
      <c r="G36" s="104">
        <v>0</v>
      </c>
      <c r="H36" s="104">
        <v>2158.69</v>
      </c>
      <c r="I36" s="104">
        <v>0</v>
      </c>
      <c r="J36" s="104">
        <v>0</v>
      </c>
      <c r="K36" s="104">
        <v>0</v>
      </c>
      <c r="L36" s="105">
        <v>0</v>
      </c>
    </row>
    <row r="37" spans="1:12" x14ac:dyDescent="0.2">
      <c r="A37" s="86"/>
      <c r="B37" s="84" t="s">
        <v>1209</v>
      </c>
      <c r="C37" s="84">
        <v>100</v>
      </c>
      <c r="D37" s="104">
        <v>26077.54</v>
      </c>
      <c r="E37" s="104">
        <v>0</v>
      </c>
      <c r="F37" s="104">
        <v>26077.54</v>
      </c>
      <c r="G37" s="104">
        <v>0</v>
      </c>
      <c r="H37" s="104">
        <v>26077.54</v>
      </c>
      <c r="I37" s="104">
        <v>0</v>
      </c>
      <c r="J37" s="104">
        <v>0</v>
      </c>
      <c r="K37" s="104">
        <v>0</v>
      </c>
      <c r="L37" s="105">
        <v>0</v>
      </c>
    </row>
    <row r="38" spans="1:12" x14ac:dyDescent="0.2">
      <c r="A38" s="86"/>
      <c r="B38" s="84" t="s">
        <v>1210</v>
      </c>
      <c r="C38" s="84">
        <v>16</v>
      </c>
      <c r="D38" s="104">
        <v>69715</v>
      </c>
      <c r="E38" s="104">
        <v>0</v>
      </c>
      <c r="F38" s="104">
        <v>69715</v>
      </c>
      <c r="G38" s="104">
        <v>291.33</v>
      </c>
      <c r="H38" s="104">
        <v>62707.98</v>
      </c>
      <c r="I38" s="104">
        <v>7007.02</v>
      </c>
      <c r="J38" s="104">
        <v>0</v>
      </c>
      <c r="K38" s="104">
        <v>0</v>
      </c>
      <c r="L38" s="105">
        <v>0</v>
      </c>
    </row>
    <row r="39" spans="1:12" x14ac:dyDescent="0.2">
      <c r="A39" s="86"/>
      <c r="B39" s="84" t="s">
        <v>1211</v>
      </c>
      <c r="C39" s="84">
        <v>158</v>
      </c>
      <c r="D39" s="104">
        <v>102700</v>
      </c>
      <c r="E39" s="104">
        <v>0</v>
      </c>
      <c r="F39" s="104">
        <v>102700</v>
      </c>
      <c r="G39" s="104">
        <v>0</v>
      </c>
      <c r="H39" s="104">
        <v>102700</v>
      </c>
      <c r="I39" s="104">
        <v>0</v>
      </c>
      <c r="J39" s="104">
        <v>0</v>
      </c>
      <c r="K39" s="104">
        <v>0</v>
      </c>
      <c r="L39" s="105">
        <v>0</v>
      </c>
    </row>
    <row r="40" spans="1:12" x14ac:dyDescent="0.2">
      <c r="A40" s="86"/>
      <c r="B40" s="84" t="s">
        <v>1212</v>
      </c>
      <c r="C40" s="84">
        <v>8</v>
      </c>
      <c r="D40" s="104">
        <v>5523.77</v>
      </c>
      <c r="E40" s="104">
        <v>0</v>
      </c>
      <c r="F40" s="104">
        <v>5523.77</v>
      </c>
      <c r="G40" s="104">
        <v>0</v>
      </c>
      <c r="H40" s="104">
        <v>5523.77</v>
      </c>
      <c r="I40" s="104">
        <v>0</v>
      </c>
      <c r="J40" s="104">
        <v>0</v>
      </c>
      <c r="K40" s="104">
        <v>0</v>
      </c>
      <c r="L40" s="105">
        <v>0</v>
      </c>
    </row>
    <row r="41" spans="1:12" x14ac:dyDescent="0.2">
      <c r="A41" s="86"/>
      <c r="B41" s="84" t="s">
        <v>1213</v>
      </c>
      <c r="C41" s="84">
        <v>2</v>
      </c>
      <c r="D41" s="104">
        <v>198</v>
      </c>
      <c r="E41" s="104">
        <v>0</v>
      </c>
      <c r="F41" s="104">
        <v>198</v>
      </c>
      <c r="G41" s="104">
        <v>0</v>
      </c>
      <c r="H41" s="104">
        <v>198</v>
      </c>
      <c r="I41" s="104">
        <v>0</v>
      </c>
      <c r="J41" s="104">
        <v>0</v>
      </c>
      <c r="K41" s="104">
        <v>0</v>
      </c>
      <c r="L41" s="105">
        <v>0</v>
      </c>
    </row>
    <row r="42" spans="1:12" x14ac:dyDescent="0.2">
      <c r="A42" s="86"/>
      <c r="B42" s="84" t="s">
        <v>1214</v>
      </c>
      <c r="C42" s="84">
        <v>3</v>
      </c>
      <c r="D42" s="104">
        <v>2715</v>
      </c>
      <c r="E42" s="104">
        <v>0</v>
      </c>
      <c r="F42" s="104">
        <v>2715</v>
      </c>
      <c r="G42" s="104">
        <v>45.26</v>
      </c>
      <c r="H42" s="104">
        <v>540.41999999999996</v>
      </c>
      <c r="I42" s="104">
        <v>2174.58</v>
      </c>
      <c r="J42" s="104">
        <v>0</v>
      </c>
      <c r="K42" s="104">
        <v>0</v>
      </c>
      <c r="L42" s="105">
        <v>0</v>
      </c>
    </row>
    <row r="43" spans="1:12" x14ac:dyDescent="0.2">
      <c r="A43" s="86"/>
      <c r="B43" s="84" t="s">
        <v>1215</v>
      </c>
      <c r="C43" s="84">
        <v>46</v>
      </c>
      <c r="D43" s="104">
        <v>287233</v>
      </c>
      <c r="E43" s="104">
        <v>0</v>
      </c>
      <c r="F43" s="104">
        <v>287233</v>
      </c>
      <c r="G43" s="104">
        <v>577.84</v>
      </c>
      <c r="H43" s="104">
        <v>271457.78000000003</v>
      </c>
      <c r="I43" s="104">
        <v>15775.22</v>
      </c>
      <c r="J43" s="104">
        <v>0</v>
      </c>
      <c r="K43" s="104">
        <v>0</v>
      </c>
      <c r="L43" s="105">
        <v>0</v>
      </c>
    </row>
    <row r="44" spans="1:12" x14ac:dyDescent="0.2">
      <c r="A44" s="86"/>
      <c r="B44" s="84" t="s">
        <v>1216</v>
      </c>
      <c r="C44" s="84">
        <v>584</v>
      </c>
      <c r="D44" s="104">
        <v>250109.13</v>
      </c>
      <c r="E44" s="104">
        <v>0</v>
      </c>
      <c r="F44" s="104">
        <v>250109.13</v>
      </c>
      <c r="G44" s="104">
        <v>2499.0700000000002</v>
      </c>
      <c r="H44" s="104">
        <v>184032.13</v>
      </c>
      <c r="I44" s="104">
        <v>66077</v>
      </c>
      <c r="J44" s="104">
        <v>0</v>
      </c>
      <c r="K44" s="104">
        <v>0</v>
      </c>
      <c r="L44" s="105">
        <v>0</v>
      </c>
    </row>
    <row r="45" spans="1:12" x14ac:dyDescent="0.2">
      <c r="A45" s="86"/>
      <c r="B45" s="84" t="s">
        <v>1217</v>
      </c>
      <c r="C45" s="84">
        <v>2</v>
      </c>
      <c r="D45" s="104">
        <v>4811.51</v>
      </c>
      <c r="E45" s="104">
        <v>0</v>
      </c>
      <c r="F45" s="104">
        <v>4811.51</v>
      </c>
      <c r="G45" s="104">
        <v>0</v>
      </c>
      <c r="H45" s="104">
        <v>4811.51</v>
      </c>
      <c r="I45" s="104">
        <v>0</v>
      </c>
      <c r="J45" s="104">
        <v>0</v>
      </c>
      <c r="K45" s="104">
        <v>0</v>
      </c>
      <c r="L45" s="105">
        <v>0</v>
      </c>
    </row>
    <row r="46" spans="1:12" x14ac:dyDescent="0.2">
      <c r="A46" s="86"/>
      <c r="B46" s="84" t="s">
        <v>1218</v>
      </c>
      <c r="C46" s="84">
        <v>2</v>
      </c>
      <c r="D46" s="104">
        <v>1600</v>
      </c>
      <c r="E46" s="104">
        <v>0</v>
      </c>
      <c r="F46" s="104">
        <v>1600</v>
      </c>
      <c r="G46" s="104">
        <v>0</v>
      </c>
      <c r="H46" s="104">
        <v>1600</v>
      </c>
      <c r="I46" s="104">
        <v>0</v>
      </c>
      <c r="J46" s="104">
        <v>0</v>
      </c>
      <c r="K46" s="104">
        <v>0</v>
      </c>
      <c r="L46" s="105">
        <v>0</v>
      </c>
    </row>
    <row r="47" spans="1:12" x14ac:dyDescent="0.2">
      <c r="A47" s="86"/>
      <c r="B47" s="84" t="s">
        <v>1219</v>
      </c>
      <c r="C47" s="84">
        <v>1</v>
      </c>
      <c r="D47" s="104">
        <v>8974.2800000000007</v>
      </c>
      <c r="E47" s="104">
        <v>0</v>
      </c>
      <c r="F47" s="104">
        <v>8974.2800000000007</v>
      </c>
      <c r="G47" s="104">
        <v>149.57</v>
      </c>
      <c r="H47" s="104">
        <v>6581.13</v>
      </c>
      <c r="I47" s="104">
        <v>2393.15</v>
      </c>
      <c r="J47" s="104">
        <v>0</v>
      </c>
      <c r="K47" s="104">
        <v>0</v>
      </c>
      <c r="L47" s="105">
        <v>0</v>
      </c>
    </row>
    <row r="48" spans="1:12" x14ac:dyDescent="0.2">
      <c r="A48" s="86"/>
      <c r="B48" s="84" t="s">
        <v>902</v>
      </c>
      <c r="C48" s="84" t="s">
        <v>903</v>
      </c>
      <c r="D48" s="104" t="s">
        <v>914</v>
      </c>
      <c r="E48" s="104" t="s">
        <v>914</v>
      </c>
      <c r="F48" s="104" t="s">
        <v>914</v>
      </c>
      <c r="G48" s="104" t="s">
        <v>914</v>
      </c>
      <c r="H48" s="104" t="s">
        <v>914</v>
      </c>
      <c r="I48" s="104" t="s">
        <v>914</v>
      </c>
      <c r="J48" s="104" t="s">
        <v>914</v>
      </c>
      <c r="K48" s="104" t="s">
        <v>914</v>
      </c>
      <c r="L48" s="105"/>
    </row>
    <row r="49" spans="1:12" x14ac:dyDescent="0.2">
      <c r="A49" s="86">
        <v>124230</v>
      </c>
      <c r="B49" s="84" t="s">
        <v>917</v>
      </c>
      <c r="C49" s="132">
        <v>3793</v>
      </c>
      <c r="D49" s="104">
        <v>33336307.57</v>
      </c>
      <c r="E49" s="104">
        <v>8198721.3799999999</v>
      </c>
      <c r="F49" s="104">
        <v>41535028.950000003</v>
      </c>
      <c r="G49" s="104">
        <v>173483.43</v>
      </c>
      <c r="H49" s="104">
        <v>34750261.630000003</v>
      </c>
      <c r="I49" s="104">
        <v>6784767.3200000003</v>
      </c>
      <c r="J49" s="104">
        <v>4115193.56</v>
      </c>
      <c r="K49" s="104">
        <v>4115193.56</v>
      </c>
      <c r="L49" s="105">
        <v>0</v>
      </c>
    </row>
    <row r="50" spans="1:12" x14ac:dyDescent="0.2">
      <c r="A50" s="86"/>
      <c r="B50" s="84" t="s">
        <v>918</v>
      </c>
      <c r="C50" s="132">
        <v>3566</v>
      </c>
      <c r="D50" s="104">
        <v>30728550.18</v>
      </c>
      <c r="E50" s="104">
        <v>8198721.3799999999</v>
      </c>
      <c r="F50" s="104">
        <v>38927271.560000002</v>
      </c>
      <c r="G50" s="104">
        <v>165341.99</v>
      </c>
      <c r="H50" s="104">
        <v>32435686.039999999</v>
      </c>
      <c r="I50" s="104">
        <v>6491585.5199999996</v>
      </c>
      <c r="J50" s="104">
        <v>4115193.56</v>
      </c>
      <c r="K50" s="104">
        <v>4115193.56</v>
      </c>
      <c r="L50" s="105">
        <v>0</v>
      </c>
    </row>
    <row r="51" spans="1:12" x14ac:dyDescent="0.2">
      <c r="A51" s="86"/>
      <c r="B51" s="84" t="s">
        <v>1220</v>
      </c>
      <c r="C51" s="84">
        <v>227</v>
      </c>
      <c r="D51" s="104">
        <v>2607757.39</v>
      </c>
      <c r="E51" s="104">
        <v>0</v>
      </c>
      <c r="F51" s="104">
        <v>2607757.39</v>
      </c>
      <c r="G51" s="104">
        <v>8141.44</v>
      </c>
      <c r="H51" s="104">
        <v>2314575.59</v>
      </c>
      <c r="I51" s="104">
        <v>293181.8</v>
      </c>
      <c r="J51" s="104">
        <v>0</v>
      </c>
      <c r="K51" s="104">
        <v>0</v>
      </c>
      <c r="L51" s="105">
        <v>0</v>
      </c>
    </row>
    <row r="52" spans="1:12" x14ac:dyDescent="0.2">
      <c r="A52" s="86"/>
      <c r="B52" s="84" t="s">
        <v>902</v>
      </c>
      <c r="C52" s="84" t="s">
        <v>903</v>
      </c>
      <c r="D52" s="104" t="s">
        <v>914</v>
      </c>
      <c r="E52" s="104" t="s">
        <v>914</v>
      </c>
      <c r="F52" s="104" t="s">
        <v>914</v>
      </c>
      <c r="G52" s="104" t="s">
        <v>914</v>
      </c>
      <c r="H52" s="104" t="s">
        <v>914</v>
      </c>
      <c r="I52" s="104" t="s">
        <v>914</v>
      </c>
      <c r="J52" s="104" t="s">
        <v>914</v>
      </c>
      <c r="K52" s="104" t="s">
        <v>914</v>
      </c>
      <c r="L52" s="105"/>
    </row>
    <row r="53" spans="1:12" x14ac:dyDescent="0.2">
      <c r="A53" s="86">
        <v>124235</v>
      </c>
      <c r="B53" s="84" t="s">
        <v>919</v>
      </c>
      <c r="C53" s="132">
        <v>2087</v>
      </c>
      <c r="D53" s="104">
        <v>3719973.19</v>
      </c>
      <c r="E53" s="104">
        <v>396750.03</v>
      </c>
      <c r="F53" s="104">
        <v>4116723.22</v>
      </c>
      <c r="G53" s="104">
        <v>18764.97</v>
      </c>
      <c r="H53" s="104">
        <v>2977690.35</v>
      </c>
      <c r="I53" s="104">
        <v>1139032.8700000001</v>
      </c>
      <c r="J53" s="104">
        <v>323555.05</v>
      </c>
      <c r="K53" s="104">
        <v>323555.05</v>
      </c>
      <c r="L53" s="105">
        <v>0</v>
      </c>
    </row>
    <row r="54" spans="1:12" x14ac:dyDescent="0.2">
      <c r="A54" s="86"/>
      <c r="B54" s="84" t="s">
        <v>1221</v>
      </c>
      <c r="C54" s="84">
        <v>6</v>
      </c>
      <c r="D54" s="104">
        <v>864.8</v>
      </c>
      <c r="E54" s="104">
        <v>0</v>
      </c>
      <c r="F54" s="104">
        <v>864.8</v>
      </c>
      <c r="G54" s="104">
        <v>0</v>
      </c>
      <c r="H54" s="104">
        <v>864.8</v>
      </c>
      <c r="I54" s="104">
        <v>0</v>
      </c>
      <c r="J54" s="104">
        <v>0</v>
      </c>
      <c r="K54" s="104">
        <v>0</v>
      </c>
      <c r="L54" s="105">
        <v>0</v>
      </c>
    </row>
    <row r="55" spans="1:12" x14ac:dyDescent="0.2">
      <c r="A55" s="86"/>
      <c r="B55" s="84" t="s">
        <v>1222</v>
      </c>
      <c r="C55" s="84">
        <v>2</v>
      </c>
      <c r="D55" s="104">
        <v>1820</v>
      </c>
      <c r="E55" s="104">
        <v>0</v>
      </c>
      <c r="F55" s="104">
        <v>1820</v>
      </c>
      <c r="G55" s="104">
        <v>0</v>
      </c>
      <c r="H55" s="104">
        <v>1820</v>
      </c>
      <c r="I55" s="104">
        <v>0</v>
      </c>
      <c r="J55" s="104">
        <v>0</v>
      </c>
      <c r="K55" s="104">
        <v>0</v>
      </c>
      <c r="L55" s="105">
        <v>0</v>
      </c>
    </row>
    <row r="56" spans="1:12" x14ac:dyDescent="0.2">
      <c r="A56" s="86"/>
      <c r="B56" s="84" t="s">
        <v>920</v>
      </c>
      <c r="C56" s="132">
        <v>1054</v>
      </c>
      <c r="D56" s="104">
        <v>3355698.49</v>
      </c>
      <c r="E56" s="104">
        <v>384190.25</v>
      </c>
      <c r="F56" s="104">
        <v>3739888.74</v>
      </c>
      <c r="G56" s="104">
        <v>17442.900000000001</v>
      </c>
      <c r="H56" s="104">
        <v>2701570.79</v>
      </c>
      <c r="I56" s="104">
        <v>1038317.95</v>
      </c>
      <c r="J56" s="104">
        <v>315924.47999999998</v>
      </c>
      <c r="K56" s="104">
        <v>315924.47999999998</v>
      </c>
      <c r="L56" s="105">
        <v>0</v>
      </c>
    </row>
    <row r="57" spans="1:12" x14ac:dyDescent="0.2">
      <c r="A57" s="86"/>
      <c r="B57" s="84" t="s">
        <v>1223</v>
      </c>
      <c r="C57" s="84">
        <v>454</v>
      </c>
      <c r="D57" s="104">
        <v>47555.98</v>
      </c>
      <c r="E57" s="104">
        <v>0</v>
      </c>
      <c r="F57" s="104">
        <v>47555.98</v>
      </c>
      <c r="G57" s="104">
        <v>0</v>
      </c>
      <c r="H57" s="104">
        <v>47555.98</v>
      </c>
      <c r="I57" s="104">
        <v>0</v>
      </c>
      <c r="J57" s="104">
        <v>0</v>
      </c>
      <c r="K57" s="104">
        <v>0</v>
      </c>
      <c r="L57" s="105">
        <v>0</v>
      </c>
    </row>
    <row r="58" spans="1:12" x14ac:dyDescent="0.2">
      <c r="A58" s="86"/>
      <c r="B58" s="84" t="s">
        <v>1224</v>
      </c>
      <c r="C58" s="84">
        <v>502</v>
      </c>
      <c r="D58" s="104">
        <v>259255.91</v>
      </c>
      <c r="E58" s="104">
        <v>9851.4699999999993</v>
      </c>
      <c r="F58" s="104">
        <v>269107.38</v>
      </c>
      <c r="G58" s="104">
        <v>1188.6400000000001</v>
      </c>
      <c r="H58" s="104">
        <v>178210.85</v>
      </c>
      <c r="I58" s="104">
        <v>90896.53</v>
      </c>
      <c r="J58" s="104">
        <v>5379.78</v>
      </c>
      <c r="K58" s="104">
        <v>5379.78</v>
      </c>
      <c r="L58" s="105">
        <v>0</v>
      </c>
    </row>
    <row r="59" spans="1:12" x14ac:dyDescent="0.2">
      <c r="A59" s="86"/>
      <c r="B59" s="84" t="s">
        <v>1225</v>
      </c>
      <c r="C59" s="84">
        <v>69</v>
      </c>
      <c r="D59" s="104">
        <v>54778.01</v>
      </c>
      <c r="E59" s="104">
        <v>2708.31</v>
      </c>
      <c r="F59" s="104">
        <v>57486.32</v>
      </c>
      <c r="G59" s="104">
        <v>133.43</v>
      </c>
      <c r="H59" s="104">
        <v>47667.93</v>
      </c>
      <c r="I59" s="104">
        <v>9818.39</v>
      </c>
      <c r="J59" s="104">
        <v>2250.79</v>
      </c>
      <c r="K59" s="104">
        <v>2250.79</v>
      </c>
      <c r="L59" s="105">
        <v>0</v>
      </c>
    </row>
    <row r="60" spans="1:12" x14ac:dyDescent="0.2">
      <c r="A60" s="86"/>
      <c r="B60" s="84" t="s">
        <v>902</v>
      </c>
      <c r="C60" s="84" t="s">
        <v>903</v>
      </c>
      <c r="D60" s="104" t="s">
        <v>914</v>
      </c>
      <c r="E60" s="104" t="s">
        <v>914</v>
      </c>
      <c r="F60" s="104" t="s">
        <v>914</v>
      </c>
      <c r="G60" s="104" t="s">
        <v>914</v>
      </c>
      <c r="H60" s="104" t="s">
        <v>914</v>
      </c>
      <c r="I60" s="104" t="s">
        <v>914</v>
      </c>
      <c r="J60" s="104" t="s">
        <v>914</v>
      </c>
      <c r="K60" s="104" t="s">
        <v>914</v>
      </c>
      <c r="L60" s="105"/>
    </row>
    <row r="61" spans="1:12" x14ac:dyDescent="0.2">
      <c r="A61" s="86" t="s">
        <v>946</v>
      </c>
      <c r="B61" s="84" t="s">
        <v>921</v>
      </c>
      <c r="C61" s="84">
        <v>13</v>
      </c>
      <c r="D61" s="104">
        <v>11736.59</v>
      </c>
      <c r="E61" s="104">
        <v>1397.03</v>
      </c>
      <c r="F61" s="104">
        <v>13133.62</v>
      </c>
      <c r="G61" s="104">
        <v>0</v>
      </c>
      <c r="H61" s="104">
        <v>0</v>
      </c>
      <c r="I61" s="104">
        <v>13133.62</v>
      </c>
      <c r="J61" s="104">
        <v>528.02</v>
      </c>
      <c r="K61" s="104">
        <v>0</v>
      </c>
      <c r="L61" s="105">
        <v>528.02</v>
      </c>
    </row>
    <row r="62" spans="1:12" x14ac:dyDescent="0.2">
      <c r="A62" s="86"/>
      <c r="B62" s="84" t="s">
        <v>1226</v>
      </c>
      <c r="C62" s="84">
        <v>13</v>
      </c>
      <c r="D62" s="104">
        <v>11736.59</v>
      </c>
      <c r="E62" s="104">
        <v>1397.03</v>
      </c>
      <c r="F62" s="104">
        <v>13133.62</v>
      </c>
      <c r="G62" s="104">
        <v>0</v>
      </c>
      <c r="H62" s="104">
        <v>0</v>
      </c>
      <c r="I62" s="104">
        <v>13133.62</v>
      </c>
      <c r="J62" s="104">
        <v>528.02</v>
      </c>
      <c r="K62" s="104">
        <v>0</v>
      </c>
      <c r="L62" s="105">
        <v>528.02</v>
      </c>
    </row>
    <row r="63" spans="1:12" x14ac:dyDescent="0.2">
      <c r="A63" s="86"/>
      <c r="B63" s="84" t="s">
        <v>902</v>
      </c>
      <c r="C63" s="84" t="s">
        <v>903</v>
      </c>
      <c r="D63" s="104" t="s">
        <v>914</v>
      </c>
      <c r="E63" s="104" t="s">
        <v>914</v>
      </c>
      <c r="F63" s="104" t="s">
        <v>914</v>
      </c>
      <c r="G63" s="104" t="s">
        <v>914</v>
      </c>
      <c r="H63" s="104" t="s">
        <v>914</v>
      </c>
      <c r="I63" s="104" t="s">
        <v>914</v>
      </c>
      <c r="J63" s="104" t="s">
        <v>914</v>
      </c>
      <c r="K63" s="104" t="s">
        <v>914</v>
      </c>
      <c r="L63" s="105"/>
    </row>
    <row r="64" spans="1:12" x14ac:dyDescent="0.2">
      <c r="A64" s="86" t="s">
        <v>946</v>
      </c>
      <c r="B64" s="84" t="s">
        <v>922</v>
      </c>
      <c r="C64" s="84">
        <v>355</v>
      </c>
      <c r="D64" s="104">
        <v>1269270.08</v>
      </c>
      <c r="E64" s="104">
        <v>-70175.37</v>
      </c>
      <c r="F64" s="104">
        <v>1199094.71</v>
      </c>
      <c r="G64" s="104">
        <v>19495.41</v>
      </c>
      <c r="H64" s="104">
        <v>538256.30000000005</v>
      </c>
      <c r="I64" s="104">
        <v>660878.41</v>
      </c>
      <c r="J64" s="104">
        <v>0</v>
      </c>
      <c r="K64" s="104">
        <v>0</v>
      </c>
      <c r="L64" s="105">
        <v>0</v>
      </c>
    </row>
    <row r="65" spans="1:12" x14ac:dyDescent="0.2">
      <c r="A65" s="86" t="s">
        <v>946</v>
      </c>
      <c r="B65" s="84" t="s">
        <v>923</v>
      </c>
      <c r="C65" s="84">
        <v>18</v>
      </c>
      <c r="D65" s="104">
        <v>25987.87</v>
      </c>
      <c r="E65" s="104">
        <v>0</v>
      </c>
      <c r="F65" s="104">
        <v>25987.87</v>
      </c>
      <c r="G65" s="104">
        <v>0</v>
      </c>
      <c r="H65" s="104">
        <v>25987.87</v>
      </c>
      <c r="I65" s="104">
        <v>0</v>
      </c>
      <c r="J65" s="104">
        <v>0</v>
      </c>
      <c r="K65" s="104">
        <v>0</v>
      </c>
      <c r="L65" s="105">
        <v>0</v>
      </c>
    </row>
    <row r="66" spans="1:12" x14ac:dyDescent="0.2">
      <c r="A66" s="86">
        <v>124320</v>
      </c>
      <c r="B66" s="84" t="s">
        <v>924</v>
      </c>
      <c r="C66" s="84">
        <v>137</v>
      </c>
      <c r="D66" s="104">
        <v>332938.34000000003</v>
      </c>
      <c r="E66" s="104">
        <v>-13473.84</v>
      </c>
      <c r="F66" s="104">
        <v>319464.5</v>
      </c>
      <c r="G66" s="104">
        <v>5324.46</v>
      </c>
      <c r="H66" s="104">
        <v>136918.49</v>
      </c>
      <c r="I66" s="104">
        <v>182546.01</v>
      </c>
      <c r="J66" s="104">
        <v>0</v>
      </c>
      <c r="K66" s="104">
        <v>0</v>
      </c>
      <c r="L66" s="105">
        <v>0</v>
      </c>
    </row>
    <row r="67" spans="1:12" x14ac:dyDescent="0.2">
      <c r="A67" s="86">
        <v>124305</v>
      </c>
      <c r="B67" s="84" t="s">
        <v>925</v>
      </c>
      <c r="C67" s="84">
        <v>78</v>
      </c>
      <c r="D67" s="104">
        <v>603208.36</v>
      </c>
      <c r="E67" s="104">
        <v>-8574.6299999999992</v>
      </c>
      <c r="F67" s="104">
        <v>594633.73</v>
      </c>
      <c r="G67" s="104">
        <v>9855.66</v>
      </c>
      <c r="H67" s="104">
        <v>263556.69</v>
      </c>
      <c r="I67" s="104">
        <v>331117.03999999998</v>
      </c>
      <c r="J67" s="104">
        <v>0</v>
      </c>
      <c r="K67" s="104">
        <v>0</v>
      </c>
      <c r="L67" s="105">
        <v>0</v>
      </c>
    </row>
    <row r="68" spans="1:12" x14ac:dyDescent="0.2">
      <c r="A68" s="86">
        <v>124325</v>
      </c>
      <c r="B68" s="84" t="s">
        <v>926</v>
      </c>
      <c r="C68" s="84">
        <v>81</v>
      </c>
      <c r="D68" s="104">
        <v>224669.94</v>
      </c>
      <c r="E68" s="104">
        <v>-28144.68</v>
      </c>
      <c r="F68" s="104">
        <v>196525.26</v>
      </c>
      <c r="G68" s="104">
        <v>3275.47</v>
      </c>
      <c r="H68" s="104">
        <v>84926.93</v>
      </c>
      <c r="I68" s="104">
        <v>111598.33</v>
      </c>
      <c r="J68" s="104">
        <v>0</v>
      </c>
      <c r="K68" s="104">
        <v>0</v>
      </c>
      <c r="L68" s="105">
        <v>0</v>
      </c>
    </row>
    <row r="69" spans="1:12" x14ac:dyDescent="0.2">
      <c r="A69" s="86">
        <v>124315</v>
      </c>
      <c r="B69" s="84" t="s">
        <v>927</v>
      </c>
      <c r="C69" s="84">
        <v>41</v>
      </c>
      <c r="D69" s="104">
        <v>82465.570000000007</v>
      </c>
      <c r="E69" s="104">
        <v>-19982.22</v>
      </c>
      <c r="F69" s="104">
        <v>62483.35</v>
      </c>
      <c r="G69" s="104">
        <v>1039.82</v>
      </c>
      <c r="H69" s="104">
        <v>26866.32</v>
      </c>
      <c r="I69" s="104">
        <v>35617.03</v>
      </c>
      <c r="J69" s="104">
        <v>0</v>
      </c>
      <c r="K69" s="104">
        <v>0</v>
      </c>
      <c r="L69" s="105">
        <v>0</v>
      </c>
    </row>
    <row r="70" spans="1:12" ht="15" x14ac:dyDescent="0.25">
      <c r="A70" s="86"/>
      <c r="B70" s="118" t="s">
        <v>902</v>
      </c>
      <c r="C70" s="84" t="s">
        <v>903</v>
      </c>
      <c r="D70" s="104" t="s">
        <v>914</v>
      </c>
      <c r="E70" s="104" t="s">
        <v>914</v>
      </c>
      <c r="F70" s="104" t="s">
        <v>914</v>
      </c>
      <c r="G70" s="104" t="s">
        <v>914</v>
      </c>
      <c r="H70" s="104" t="s">
        <v>914</v>
      </c>
      <c r="I70" s="104" t="s">
        <v>914</v>
      </c>
      <c r="J70" s="104" t="s">
        <v>914</v>
      </c>
      <c r="K70" s="104" t="s">
        <v>914</v>
      </c>
      <c r="L70" s="105"/>
    </row>
    <row r="71" spans="1:12" x14ac:dyDescent="0.2">
      <c r="A71" s="86">
        <v>124270</v>
      </c>
      <c r="B71" s="84" t="s">
        <v>928</v>
      </c>
      <c r="C71" s="132">
        <v>37892</v>
      </c>
      <c r="D71" s="104">
        <v>11792367.17</v>
      </c>
      <c r="E71" s="104">
        <v>840363.09</v>
      </c>
      <c r="F71" s="104">
        <v>12632730.26</v>
      </c>
      <c r="G71" s="104">
        <v>60899.65</v>
      </c>
      <c r="H71" s="104">
        <v>9909285.3200000003</v>
      </c>
      <c r="I71" s="104">
        <v>2723444.94</v>
      </c>
      <c r="J71" s="104">
        <v>56940.66</v>
      </c>
      <c r="K71" s="104">
        <v>56940.66</v>
      </c>
      <c r="L71" s="105">
        <v>0</v>
      </c>
    </row>
    <row r="72" spans="1:12" x14ac:dyDescent="0.2">
      <c r="A72" s="86"/>
      <c r="B72" s="84" t="s">
        <v>929</v>
      </c>
      <c r="C72" s="132">
        <v>9605</v>
      </c>
      <c r="D72" s="104">
        <v>3121697.11</v>
      </c>
      <c r="E72" s="104">
        <v>212993.49</v>
      </c>
      <c r="F72" s="104">
        <v>3334690.6</v>
      </c>
      <c r="G72" s="104">
        <v>13492.62</v>
      </c>
      <c r="H72" s="104">
        <v>2342205.9900000002</v>
      </c>
      <c r="I72" s="104">
        <v>992484.61</v>
      </c>
      <c r="J72" s="104">
        <v>48130.94</v>
      </c>
      <c r="K72" s="104">
        <v>48130.94</v>
      </c>
      <c r="L72" s="105">
        <v>0</v>
      </c>
    </row>
    <row r="73" spans="1:12" x14ac:dyDescent="0.2">
      <c r="A73" s="86"/>
      <c r="B73" s="84" t="s">
        <v>1111</v>
      </c>
      <c r="C73" s="132">
        <v>5016</v>
      </c>
      <c r="D73" s="104">
        <v>630107.01</v>
      </c>
      <c r="E73" s="104">
        <v>11159.16</v>
      </c>
      <c r="F73" s="104">
        <v>641266.17000000004</v>
      </c>
      <c r="G73" s="104">
        <v>602.01</v>
      </c>
      <c r="H73" s="104">
        <v>583924.37</v>
      </c>
      <c r="I73" s="104">
        <v>57341.8</v>
      </c>
      <c r="J73" s="104">
        <v>3803.4</v>
      </c>
      <c r="K73" s="104">
        <v>3803.4</v>
      </c>
      <c r="L73" s="105">
        <v>0</v>
      </c>
    </row>
    <row r="74" spans="1:12" x14ac:dyDescent="0.2">
      <c r="A74" s="86"/>
      <c r="B74" s="84" t="s">
        <v>930</v>
      </c>
      <c r="C74" s="132">
        <v>23271</v>
      </c>
      <c r="D74" s="104">
        <v>8040563.0499999998</v>
      </c>
      <c r="E74" s="104">
        <v>616210.43999999994</v>
      </c>
      <c r="F74" s="104">
        <v>8656773.4900000002</v>
      </c>
      <c r="G74" s="104">
        <v>46805.02</v>
      </c>
      <c r="H74" s="104">
        <v>6983154.96</v>
      </c>
      <c r="I74" s="104">
        <v>1673618.53</v>
      </c>
      <c r="J74" s="104">
        <v>5006.32</v>
      </c>
      <c r="K74" s="104">
        <v>5006.32</v>
      </c>
      <c r="L74" s="105">
        <v>0</v>
      </c>
    </row>
    <row r="75" spans="1:12" x14ac:dyDescent="0.2">
      <c r="A75" s="86"/>
      <c r="B75" s="84" t="s">
        <v>902</v>
      </c>
      <c r="C75" s="84" t="s">
        <v>903</v>
      </c>
      <c r="D75" s="104" t="s">
        <v>914</v>
      </c>
      <c r="E75" s="104" t="s">
        <v>914</v>
      </c>
      <c r="F75" s="104" t="s">
        <v>914</v>
      </c>
      <c r="G75" s="104" t="s">
        <v>914</v>
      </c>
      <c r="H75" s="104" t="s">
        <v>914</v>
      </c>
      <c r="I75" s="104" t="s">
        <v>914</v>
      </c>
      <c r="J75" s="104" t="s">
        <v>914</v>
      </c>
      <c r="K75" s="104" t="s">
        <v>914</v>
      </c>
      <c r="L75" s="105"/>
    </row>
    <row r="76" spans="1:12" x14ac:dyDescent="0.2">
      <c r="A76" s="86" t="s">
        <v>946</v>
      </c>
      <c r="B76" s="84" t="s">
        <v>931</v>
      </c>
      <c r="C76" s="84">
        <v>774</v>
      </c>
      <c r="D76" s="104">
        <v>254105.98</v>
      </c>
      <c r="E76" s="104">
        <v>45216.23</v>
      </c>
      <c r="F76" s="104">
        <v>299322.21000000002</v>
      </c>
      <c r="G76" s="104">
        <v>0</v>
      </c>
      <c r="H76" s="104">
        <v>0.16</v>
      </c>
      <c r="I76" s="104">
        <v>299322.05</v>
      </c>
      <c r="J76" s="104">
        <v>8696.5</v>
      </c>
      <c r="K76" s="104">
        <v>0</v>
      </c>
      <c r="L76" s="105">
        <v>8696.5</v>
      </c>
    </row>
    <row r="77" spans="1:12" x14ac:dyDescent="0.2">
      <c r="A77" s="86"/>
      <c r="B77" s="84" t="s">
        <v>1227</v>
      </c>
      <c r="C77" s="84">
        <v>38</v>
      </c>
      <c r="D77" s="104">
        <v>19276</v>
      </c>
      <c r="E77" s="104">
        <v>0</v>
      </c>
      <c r="F77" s="104">
        <v>19276</v>
      </c>
      <c r="G77" s="104">
        <v>0</v>
      </c>
      <c r="H77" s="104">
        <v>0</v>
      </c>
      <c r="I77" s="104">
        <v>19276</v>
      </c>
      <c r="J77" s="104">
        <v>0</v>
      </c>
      <c r="K77" s="104">
        <v>0</v>
      </c>
      <c r="L77" s="105">
        <v>0</v>
      </c>
    </row>
    <row r="78" spans="1:12" x14ac:dyDescent="0.2">
      <c r="A78" s="86"/>
      <c r="B78" s="84" t="s">
        <v>1228</v>
      </c>
      <c r="C78" s="84">
        <v>43</v>
      </c>
      <c r="D78" s="104">
        <v>93.44</v>
      </c>
      <c r="E78" s="104">
        <v>10648.11</v>
      </c>
      <c r="F78" s="104">
        <v>10741.55</v>
      </c>
      <c r="G78" s="104">
        <v>0</v>
      </c>
      <c r="H78" s="104">
        <v>0.01</v>
      </c>
      <c r="I78" s="104">
        <v>10741.54</v>
      </c>
      <c r="J78" s="104">
        <v>8696.5</v>
      </c>
      <c r="K78" s="104">
        <v>0</v>
      </c>
      <c r="L78" s="105">
        <v>8696.5</v>
      </c>
    </row>
    <row r="79" spans="1:12" x14ac:dyDescent="0.2">
      <c r="A79" s="86"/>
      <c r="B79" s="84" t="s">
        <v>1229</v>
      </c>
      <c r="C79" s="84">
        <v>659</v>
      </c>
      <c r="D79" s="104">
        <v>158975.85999999999</v>
      </c>
      <c r="E79" s="104">
        <v>26260.880000000001</v>
      </c>
      <c r="F79" s="104">
        <v>185236.74</v>
      </c>
      <c r="G79" s="104">
        <v>0</v>
      </c>
      <c r="H79" s="104">
        <v>0.15</v>
      </c>
      <c r="I79" s="104">
        <v>185236.59</v>
      </c>
      <c r="J79" s="104">
        <v>0</v>
      </c>
      <c r="K79" s="104">
        <v>0</v>
      </c>
      <c r="L79" s="105">
        <v>0</v>
      </c>
    </row>
    <row r="80" spans="1:12" x14ac:dyDescent="0.2">
      <c r="A80" s="86"/>
      <c r="B80" s="84" t="s">
        <v>1230</v>
      </c>
      <c r="C80" s="84">
        <v>34</v>
      </c>
      <c r="D80" s="104">
        <v>75760.679999999993</v>
      </c>
      <c r="E80" s="104">
        <v>8307.24</v>
      </c>
      <c r="F80" s="104">
        <v>84067.92</v>
      </c>
      <c r="G80" s="104">
        <v>0</v>
      </c>
      <c r="H80" s="104">
        <v>0</v>
      </c>
      <c r="I80" s="104">
        <v>84067.92</v>
      </c>
      <c r="J80" s="104">
        <v>0</v>
      </c>
      <c r="K80" s="104">
        <v>0</v>
      </c>
      <c r="L80" s="105">
        <v>0</v>
      </c>
    </row>
    <row r="81" spans="1:12" x14ac:dyDescent="0.2">
      <c r="A81" s="86"/>
      <c r="B81" s="84" t="s">
        <v>902</v>
      </c>
      <c r="C81" s="84" t="s">
        <v>903</v>
      </c>
      <c r="D81" s="104" t="s">
        <v>914</v>
      </c>
      <c r="E81" s="104" t="s">
        <v>914</v>
      </c>
      <c r="F81" s="104" t="s">
        <v>914</v>
      </c>
      <c r="G81" s="104" t="s">
        <v>914</v>
      </c>
      <c r="H81" s="104" t="s">
        <v>914</v>
      </c>
      <c r="I81" s="104" t="s">
        <v>914</v>
      </c>
      <c r="J81" s="104" t="s">
        <v>914</v>
      </c>
      <c r="K81" s="104" t="s">
        <v>914</v>
      </c>
      <c r="L81" s="105"/>
    </row>
    <row r="82" spans="1:12" x14ac:dyDescent="0.2">
      <c r="A82" s="86">
        <v>124300</v>
      </c>
      <c r="B82" s="84" t="s">
        <v>932</v>
      </c>
      <c r="C82" s="84">
        <v>5</v>
      </c>
      <c r="D82" s="104">
        <v>288633.84999999998</v>
      </c>
      <c r="E82" s="104">
        <v>0</v>
      </c>
      <c r="F82" s="104">
        <v>288633.84999999998</v>
      </c>
      <c r="G82" s="104">
        <v>0</v>
      </c>
      <c r="H82" s="104">
        <v>288633.84999999998</v>
      </c>
      <c r="I82" s="104">
        <v>0</v>
      </c>
      <c r="J82" s="104">
        <v>0</v>
      </c>
      <c r="K82" s="104">
        <v>0</v>
      </c>
      <c r="L82" s="105">
        <v>0</v>
      </c>
    </row>
    <row r="83" spans="1:12" x14ac:dyDescent="0.2">
      <c r="A83" s="86"/>
      <c r="B83" s="84" t="s">
        <v>1231</v>
      </c>
      <c r="C83" s="84">
        <v>1</v>
      </c>
      <c r="D83" s="104">
        <v>5985</v>
      </c>
      <c r="E83" s="104">
        <v>0</v>
      </c>
      <c r="F83" s="104">
        <v>5985</v>
      </c>
      <c r="G83" s="104">
        <v>0</v>
      </c>
      <c r="H83" s="104">
        <v>5985</v>
      </c>
      <c r="I83" s="104">
        <v>0</v>
      </c>
      <c r="J83" s="104">
        <v>0</v>
      </c>
      <c r="K83" s="104">
        <v>0</v>
      </c>
      <c r="L83" s="105">
        <v>0</v>
      </c>
    </row>
    <row r="84" spans="1:12" x14ac:dyDescent="0.2">
      <c r="A84" s="86"/>
      <c r="B84" s="84" t="s">
        <v>1232</v>
      </c>
      <c r="C84" s="84">
        <v>4</v>
      </c>
      <c r="D84" s="104">
        <v>282648.84999999998</v>
      </c>
      <c r="E84" s="104">
        <v>0</v>
      </c>
      <c r="F84" s="104">
        <v>282648.84999999998</v>
      </c>
      <c r="G84" s="104">
        <v>0</v>
      </c>
      <c r="H84" s="104">
        <v>282648.84999999998</v>
      </c>
      <c r="I84" s="104">
        <v>0</v>
      </c>
      <c r="J84" s="104">
        <v>0</v>
      </c>
      <c r="K84" s="104">
        <v>0</v>
      </c>
      <c r="L84" s="105">
        <v>0</v>
      </c>
    </row>
    <row r="85" spans="1:12" ht="16.5" thickBot="1" x14ac:dyDescent="0.3">
      <c r="A85" s="133"/>
      <c r="B85" s="120" t="s">
        <v>933</v>
      </c>
      <c r="C85" s="134">
        <v>48572</v>
      </c>
      <c r="D85" s="121">
        <v>75612981.659999996</v>
      </c>
      <c r="E85" s="121">
        <v>31288398.710000001</v>
      </c>
      <c r="F85" s="121">
        <v>106901380.37</v>
      </c>
      <c r="G85" s="121">
        <v>336231.52</v>
      </c>
      <c r="H85" s="121">
        <v>92449166.719999999</v>
      </c>
      <c r="I85" s="121">
        <v>14452253.65</v>
      </c>
      <c r="J85" s="121">
        <v>23328718.039999999</v>
      </c>
      <c r="K85" s="121">
        <v>23319493.510000002</v>
      </c>
      <c r="L85" s="122">
        <v>9224.5300000000007</v>
      </c>
    </row>
    <row r="86" spans="1:12" ht="13.5" thickTop="1" x14ac:dyDescent="0.2">
      <c r="B86" t="s">
        <v>1303</v>
      </c>
      <c r="D86" s="1"/>
      <c r="E86" s="1"/>
      <c r="F86" s="1"/>
      <c r="G86" s="1"/>
      <c r="H86" s="1"/>
      <c r="I86" s="1"/>
      <c r="J86" s="1"/>
      <c r="K86" s="1"/>
      <c r="L86" s="1"/>
    </row>
    <row r="87" spans="1:12" x14ac:dyDescent="0.2">
      <c r="D87" s="1"/>
      <c r="E87" s="1"/>
      <c r="F87" s="1"/>
      <c r="G87" s="1"/>
      <c r="H87" s="1"/>
      <c r="I87" s="1"/>
      <c r="J87" s="1"/>
      <c r="K87" s="1"/>
      <c r="L87" s="1"/>
    </row>
    <row r="88" spans="1:12" x14ac:dyDescent="0.2">
      <c r="D88" s="1"/>
      <c r="E88" s="1"/>
      <c r="F88" s="1"/>
      <c r="G88" s="1"/>
      <c r="H88" s="1"/>
      <c r="I88" s="1"/>
      <c r="J88" s="1"/>
      <c r="K88" s="1"/>
      <c r="L88" s="1"/>
    </row>
    <row r="89" spans="1:12" x14ac:dyDescent="0.2">
      <c r="D89" s="1"/>
      <c r="E89" s="1"/>
      <c r="F89" s="1"/>
      <c r="G89" s="1"/>
      <c r="H89" s="1"/>
      <c r="I89" s="1"/>
      <c r="J89" s="1"/>
      <c r="K89" s="1"/>
      <c r="L89" s="1"/>
    </row>
    <row r="90" spans="1:12" x14ac:dyDescent="0.2">
      <c r="D90" s="1"/>
      <c r="E90" s="1"/>
      <c r="F90" s="1"/>
      <c r="G90" s="1"/>
      <c r="H90" s="1"/>
      <c r="I90" s="1"/>
      <c r="J90" s="1"/>
      <c r="K90" s="1"/>
      <c r="L90" s="1"/>
    </row>
    <row r="91" spans="1:12" ht="15" x14ac:dyDescent="0.25">
      <c r="A91" s="80" t="s">
        <v>894</v>
      </c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</row>
    <row r="92" spans="1:12" ht="15" x14ac:dyDescent="0.25">
      <c r="A92" s="80" t="s">
        <v>1304</v>
      </c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</row>
    <row r="93" spans="1:12" ht="15.75" thickBot="1" x14ac:dyDescent="0.3">
      <c r="A93" s="80" t="s">
        <v>895</v>
      </c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</row>
    <row r="94" spans="1:12" ht="15.75" thickTop="1" x14ac:dyDescent="0.25">
      <c r="A94" s="126" t="s">
        <v>965</v>
      </c>
      <c r="B94" s="81" t="s">
        <v>896</v>
      </c>
      <c r="C94" s="81" t="s">
        <v>897</v>
      </c>
      <c r="D94" s="81" t="s">
        <v>898</v>
      </c>
      <c r="E94" s="81" t="s">
        <v>899</v>
      </c>
      <c r="F94" s="81" t="s">
        <v>898</v>
      </c>
      <c r="G94" s="81" t="s">
        <v>900</v>
      </c>
      <c r="H94" s="81" t="s">
        <v>900</v>
      </c>
      <c r="I94" s="81" t="s">
        <v>898</v>
      </c>
      <c r="J94" s="81" t="s">
        <v>899</v>
      </c>
      <c r="K94" s="81" t="s">
        <v>900</v>
      </c>
      <c r="L94" s="135" t="s">
        <v>901</v>
      </c>
    </row>
    <row r="95" spans="1:12" ht="15" x14ac:dyDescent="0.25">
      <c r="A95" s="129"/>
      <c r="B95" s="82" t="s">
        <v>902</v>
      </c>
      <c r="C95" s="82" t="s">
        <v>903</v>
      </c>
      <c r="D95" s="82" t="s">
        <v>904</v>
      </c>
      <c r="E95" s="82" t="s">
        <v>905</v>
      </c>
      <c r="F95" s="82" t="s">
        <v>906</v>
      </c>
      <c r="G95" s="82" t="s">
        <v>907</v>
      </c>
      <c r="H95" s="82" t="s">
        <v>905</v>
      </c>
      <c r="I95" s="82" t="s">
        <v>908</v>
      </c>
      <c r="J95" s="82">
        <v>8200</v>
      </c>
      <c r="K95" s="82">
        <v>8200</v>
      </c>
      <c r="L95" s="136">
        <v>8200</v>
      </c>
    </row>
    <row r="96" spans="1:12" x14ac:dyDescent="0.2">
      <c r="A96" s="83"/>
      <c r="B96" s="84" t="s">
        <v>916</v>
      </c>
      <c r="C96" s="84">
        <v>60</v>
      </c>
      <c r="D96" s="137">
        <v>249438.86</v>
      </c>
      <c r="E96" s="84">
        <v>0</v>
      </c>
      <c r="F96" s="137">
        <v>249438.86</v>
      </c>
      <c r="G96" s="137">
        <v>4157.29</v>
      </c>
      <c r="H96" s="137">
        <v>207865.44</v>
      </c>
      <c r="I96" s="137">
        <v>41573.42</v>
      </c>
      <c r="J96" s="84">
        <v>0</v>
      </c>
      <c r="K96" s="84">
        <v>0</v>
      </c>
      <c r="L96" s="138">
        <v>0</v>
      </c>
    </row>
    <row r="97" spans="1:12" x14ac:dyDescent="0.2">
      <c r="A97" s="83"/>
      <c r="B97" s="84" t="s">
        <v>1194</v>
      </c>
      <c r="C97" s="84">
        <v>27</v>
      </c>
      <c r="D97" s="137">
        <v>153945.34</v>
      </c>
      <c r="E97" s="84">
        <v>0</v>
      </c>
      <c r="F97" s="137">
        <v>153945.34</v>
      </c>
      <c r="G97" s="137">
        <v>2565.79</v>
      </c>
      <c r="H97" s="137">
        <v>128287.74</v>
      </c>
      <c r="I97" s="137">
        <v>25657.599999999999</v>
      </c>
      <c r="J97" s="84">
        <v>0</v>
      </c>
      <c r="K97" s="84">
        <v>0</v>
      </c>
      <c r="L97" s="138">
        <v>0</v>
      </c>
    </row>
    <row r="98" spans="1:12" x14ac:dyDescent="0.2">
      <c r="A98" s="83"/>
      <c r="B98" s="84" t="s">
        <v>1205</v>
      </c>
      <c r="C98" s="84">
        <v>6</v>
      </c>
      <c r="D98" s="137">
        <v>20638.259999999998</v>
      </c>
      <c r="E98" s="84">
        <v>0</v>
      </c>
      <c r="F98" s="137">
        <v>20638.259999999998</v>
      </c>
      <c r="G98" s="84">
        <v>343.98</v>
      </c>
      <c r="H98" s="137">
        <v>17198.52</v>
      </c>
      <c r="I98" s="137">
        <v>3439.74</v>
      </c>
      <c r="J98" s="84">
        <v>0</v>
      </c>
      <c r="K98" s="84">
        <v>0</v>
      </c>
      <c r="L98" s="138">
        <v>0</v>
      </c>
    </row>
    <row r="99" spans="1:12" x14ac:dyDescent="0.2">
      <c r="A99" s="83"/>
      <c r="B99" s="84" t="s">
        <v>1216</v>
      </c>
      <c r="C99" s="84">
        <v>27</v>
      </c>
      <c r="D99" s="137">
        <v>74855.259999999995</v>
      </c>
      <c r="E99" s="84">
        <v>0</v>
      </c>
      <c r="F99" s="137">
        <v>74855.259999999995</v>
      </c>
      <c r="G99" s="137">
        <v>1247.52</v>
      </c>
      <c r="H99" s="137">
        <v>62379.18</v>
      </c>
      <c r="I99" s="137">
        <v>12476.08</v>
      </c>
      <c r="J99" s="84">
        <v>0</v>
      </c>
      <c r="K99" s="84">
        <v>0</v>
      </c>
      <c r="L99" s="138">
        <v>0</v>
      </c>
    </row>
    <row r="100" spans="1:12" ht="16.5" thickBot="1" x14ac:dyDescent="0.3">
      <c r="A100" s="119"/>
      <c r="B100" s="120" t="s">
        <v>933</v>
      </c>
      <c r="C100" s="120">
        <v>60</v>
      </c>
      <c r="D100" s="139">
        <v>249438.86</v>
      </c>
      <c r="E100" s="120">
        <v>0</v>
      </c>
      <c r="F100" s="139">
        <v>249438.86</v>
      </c>
      <c r="G100" s="139">
        <v>4157.29</v>
      </c>
      <c r="H100" s="139">
        <v>207865.44</v>
      </c>
      <c r="I100" s="139">
        <v>41573.42</v>
      </c>
      <c r="J100" s="120">
        <v>0</v>
      </c>
      <c r="K100" s="120">
        <v>0</v>
      </c>
      <c r="L100" s="140">
        <v>0</v>
      </c>
    </row>
    <row r="101" spans="1:12" ht="13.5" thickTop="1" x14ac:dyDescent="0.2">
      <c r="B101" t="s">
        <v>1305</v>
      </c>
    </row>
    <row r="102" spans="1:12" x14ac:dyDescent="0.2">
      <c r="D102" s="1"/>
      <c r="E102" s="1"/>
      <c r="F102" s="1"/>
      <c r="G102" s="1"/>
      <c r="H102" s="1"/>
      <c r="I102" s="1"/>
      <c r="J102" s="1"/>
      <c r="K102" s="1"/>
      <c r="L102" s="1"/>
    </row>
    <row r="103" spans="1:12" x14ac:dyDescent="0.2">
      <c r="D103" s="1"/>
      <c r="E103" s="1"/>
      <c r="F103" s="1"/>
      <c r="G103" s="1"/>
      <c r="H103" s="1"/>
      <c r="I103" s="1"/>
      <c r="J103" s="1"/>
      <c r="K103" s="1"/>
      <c r="L103" s="1"/>
    </row>
    <row r="104" spans="1:12" x14ac:dyDescent="0.2">
      <c r="D104" s="1"/>
      <c r="E104" s="1"/>
      <c r="F104" s="1"/>
      <c r="G104" s="1"/>
      <c r="H104" s="1"/>
      <c r="I104" s="1"/>
      <c r="J104" s="1"/>
      <c r="K104" s="1"/>
      <c r="L104" s="1"/>
    </row>
    <row r="105" spans="1:12" x14ac:dyDescent="0.2">
      <c r="D105" s="1"/>
      <c r="E105" s="1"/>
      <c r="F105" s="1"/>
      <c r="G105" s="1"/>
      <c r="H105" s="1"/>
      <c r="I105" s="1"/>
      <c r="J105" s="1"/>
      <c r="K105" s="1"/>
      <c r="L105" s="1"/>
    </row>
    <row r="106" spans="1:12" x14ac:dyDescent="0.2">
      <c r="D106" s="1"/>
      <c r="E106" s="1"/>
      <c r="F106" s="1"/>
      <c r="G106" s="1"/>
      <c r="H106" s="1"/>
      <c r="I106" s="1"/>
      <c r="J106" s="1"/>
      <c r="K106" s="1"/>
      <c r="L106" s="1"/>
    </row>
    <row r="107" spans="1:12" x14ac:dyDescent="0.2">
      <c r="D107" s="1"/>
      <c r="E107" s="1"/>
      <c r="F107" s="1"/>
      <c r="G107" s="1"/>
      <c r="H107" s="1"/>
      <c r="I107" s="1"/>
      <c r="J107" s="1"/>
      <c r="K107" s="1"/>
      <c r="L107" s="1"/>
    </row>
    <row r="108" spans="1:12" x14ac:dyDescent="0.2">
      <c r="D108" s="1"/>
      <c r="E108" s="1"/>
      <c r="F108" s="1"/>
      <c r="G108" s="1"/>
      <c r="H108" s="1"/>
      <c r="I108" s="1"/>
      <c r="J108" s="1"/>
      <c r="K108" s="1"/>
      <c r="L108" s="1"/>
    </row>
    <row r="109" spans="1:12" x14ac:dyDescent="0.2">
      <c r="D109" s="1"/>
      <c r="E109" s="1"/>
      <c r="F109" s="1"/>
      <c r="G109" s="1"/>
      <c r="H109" s="1"/>
      <c r="I109" s="1"/>
      <c r="J109" s="1"/>
      <c r="K109" s="1"/>
      <c r="L109" s="1"/>
    </row>
    <row r="110" spans="1:12" x14ac:dyDescent="0.2">
      <c r="D110" s="1"/>
      <c r="E110" s="1"/>
      <c r="F110" s="1"/>
      <c r="G110" s="1"/>
      <c r="H110" s="1"/>
      <c r="I110" s="1"/>
      <c r="J110" s="1"/>
      <c r="K110" s="1"/>
      <c r="L110" s="1"/>
    </row>
    <row r="111" spans="1:12" x14ac:dyDescent="0.2">
      <c r="D111" s="1"/>
      <c r="E111" s="1"/>
      <c r="F111" s="1"/>
      <c r="G111" s="1"/>
      <c r="H111" s="1"/>
      <c r="I111" s="1"/>
      <c r="J111" s="1"/>
      <c r="K111" s="1"/>
      <c r="L111" s="1"/>
    </row>
    <row r="112" spans="1:12" x14ac:dyDescent="0.2">
      <c r="D112" s="1"/>
      <c r="E112" s="1"/>
      <c r="F112" s="1"/>
      <c r="G112" s="1"/>
      <c r="H112" s="1"/>
      <c r="I112" s="1"/>
      <c r="J112" s="1"/>
      <c r="K112" s="1"/>
      <c r="L112" s="1"/>
    </row>
    <row r="113" spans="4:12" x14ac:dyDescent="0.2">
      <c r="D113" s="1"/>
      <c r="E113" s="1"/>
      <c r="F113" s="1"/>
      <c r="G113" s="1"/>
      <c r="H113" s="1"/>
      <c r="I113" s="1"/>
      <c r="J113" s="1"/>
      <c r="K113" s="1"/>
      <c r="L113" s="1"/>
    </row>
    <row r="114" spans="4:12" x14ac:dyDescent="0.2">
      <c r="D114" s="1"/>
      <c r="E114" s="1"/>
      <c r="F114" s="1"/>
      <c r="G114" s="1"/>
      <c r="H114" s="1"/>
      <c r="I114" s="1"/>
      <c r="J114" s="1"/>
      <c r="K114" s="1"/>
      <c r="L114" s="1"/>
    </row>
    <row r="115" spans="4:12" x14ac:dyDescent="0.2">
      <c r="D115" s="1"/>
      <c r="E115" s="1"/>
      <c r="F115" s="1"/>
      <c r="G115" s="1"/>
      <c r="H115" s="1"/>
      <c r="I115" s="1"/>
      <c r="J115" s="1"/>
      <c r="K115" s="1"/>
      <c r="L115" s="1"/>
    </row>
    <row r="116" spans="4:12" x14ac:dyDescent="0.2">
      <c r="D116" s="1"/>
      <c r="E116" s="1"/>
      <c r="F116" s="1"/>
      <c r="G116" s="1"/>
      <c r="H116" s="1"/>
      <c r="I116" s="1"/>
      <c r="J116" s="1"/>
      <c r="K116" s="1"/>
      <c r="L116" s="1"/>
    </row>
    <row r="117" spans="4:12" x14ac:dyDescent="0.2">
      <c r="D117" s="1"/>
      <c r="E117" s="1"/>
      <c r="F117" s="1"/>
      <c r="G117" s="1"/>
      <c r="H117" s="1"/>
      <c r="I117" s="1"/>
      <c r="J117" s="1"/>
      <c r="K117" s="1"/>
      <c r="L117" s="1"/>
    </row>
    <row r="118" spans="4:12" x14ac:dyDescent="0.2">
      <c r="D118" s="1"/>
      <c r="E118" s="1"/>
      <c r="F118" s="1"/>
      <c r="G118" s="1"/>
      <c r="H118" s="1"/>
      <c r="I118" s="1"/>
      <c r="J118" s="1"/>
      <c r="K118" s="1"/>
      <c r="L118" s="1"/>
    </row>
    <row r="119" spans="4:12" x14ac:dyDescent="0.2">
      <c r="D119" s="1"/>
      <c r="E119" s="1"/>
      <c r="F119" s="1"/>
      <c r="G119" s="1"/>
      <c r="H119" s="1"/>
      <c r="I119" s="1"/>
      <c r="J119" s="1"/>
      <c r="K119" s="1"/>
      <c r="L119" s="1"/>
    </row>
    <row r="120" spans="4:12" x14ac:dyDescent="0.2">
      <c r="D120" s="1"/>
      <c r="E120" s="1"/>
      <c r="F120" s="1"/>
      <c r="G120" s="1"/>
      <c r="H120" s="1"/>
      <c r="I120" s="1"/>
      <c r="J120" s="1"/>
      <c r="K120" s="1"/>
      <c r="L120" s="1"/>
    </row>
    <row r="121" spans="4:12" x14ac:dyDescent="0.2">
      <c r="D121" s="1"/>
      <c r="E121" s="1"/>
      <c r="F121" s="1"/>
      <c r="G121" s="1"/>
      <c r="H121" s="1"/>
      <c r="I121" s="1"/>
      <c r="J121" s="1"/>
      <c r="K121" s="1"/>
      <c r="L121" s="1"/>
    </row>
    <row r="122" spans="4:12" x14ac:dyDescent="0.2">
      <c r="D122" s="1"/>
      <c r="E122" s="1"/>
      <c r="F122" s="1"/>
      <c r="G122" s="1"/>
      <c r="H122" s="1"/>
      <c r="I122" s="1"/>
      <c r="J122" s="1"/>
      <c r="K122" s="1"/>
      <c r="L122" s="1"/>
    </row>
    <row r="123" spans="4:12" x14ac:dyDescent="0.2">
      <c r="D123" s="1"/>
      <c r="E123" s="1"/>
      <c r="F123" s="1"/>
      <c r="G123" s="1"/>
      <c r="H123" s="1"/>
      <c r="I123" s="1"/>
      <c r="J123" s="1"/>
      <c r="K123" s="1"/>
      <c r="L123" s="1"/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3CDBC-4EE8-4892-9686-079E6646A9B8}">
  <sheetPr>
    <tabColor rgb="FF92D050"/>
  </sheetPr>
  <dimension ref="A1:L33"/>
  <sheetViews>
    <sheetView zoomScale="80" zoomScaleNormal="80" workbookViewId="0">
      <selection activeCell="J45" sqref="J45"/>
    </sheetView>
  </sheetViews>
  <sheetFormatPr defaultRowHeight="12.75" x14ac:dyDescent="0.2"/>
  <cols>
    <col min="2" max="2" width="50.7109375" customWidth="1"/>
    <col min="3" max="3" width="12" bestFit="1" customWidth="1"/>
    <col min="4" max="4" width="13.7109375" bestFit="1" customWidth="1"/>
    <col min="5" max="5" width="14.140625" bestFit="1" customWidth="1"/>
    <col min="6" max="8" width="14.28515625" bestFit="1" customWidth="1"/>
    <col min="9" max="9" width="13.7109375" bestFit="1" customWidth="1"/>
    <col min="10" max="10" width="12.42578125" bestFit="1" customWidth="1"/>
    <col min="11" max="11" width="14.28515625" bestFit="1" customWidth="1"/>
    <col min="12" max="12" width="10.42578125" bestFit="1" customWidth="1"/>
  </cols>
  <sheetData>
    <row r="1" spans="1:12" ht="15" x14ac:dyDescent="0.25">
      <c r="A1" s="80" t="s">
        <v>894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</row>
    <row r="2" spans="1:12" ht="15" x14ac:dyDescent="0.25">
      <c r="A2" s="80" t="s">
        <v>1306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</row>
    <row r="3" spans="1:12" ht="15.75" thickBot="1" x14ac:dyDescent="0.3">
      <c r="A3" s="80" t="s">
        <v>943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</row>
    <row r="4" spans="1:12" ht="15.75" thickTop="1" x14ac:dyDescent="0.25">
      <c r="A4" s="126" t="s">
        <v>965</v>
      </c>
      <c r="B4" s="81" t="s">
        <v>896</v>
      </c>
      <c r="C4" s="81" t="s">
        <v>897</v>
      </c>
      <c r="D4" s="81" t="s">
        <v>898</v>
      </c>
      <c r="E4" s="81" t="s">
        <v>944</v>
      </c>
      <c r="F4" s="81" t="s">
        <v>898</v>
      </c>
      <c r="G4" s="81" t="s">
        <v>945</v>
      </c>
      <c r="H4" s="81" t="s">
        <v>945</v>
      </c>
      <c r="I4" s="81" t="s">
        <v>898</v>
      </c>
      <c r="J4" s="81" t="s">
        <v>944</v>
      </c>
      <c r="K4" s="81" t="s">
        <v>945</v>
      </c>
      <c r="L4" s="135" t="s">
        <v>901</v>
      </c>
    </row>
    <row r="5" spans="1:12" ht="15" x14ac:dyDescent="0.25">
      <c r="A5" s="129"/>
      <c r="B5" s="82" t="s">
        <v>902</v>
      </c>
      <c r="C5" s="82" t="s">
        <v>903</v>
      </c>
      <c r="D5" s="82" t="s">
        <v>904</v>
      </c>
      <c r="E5" s="82" t="s">
        <v>905</v>
      </c>
      <c r="F5" s="82" t="s">
        <v>906</v>
      </c>
      <c r="G5" s="82" t="s">
        <v>907</v>
      </c>
      <c r="H5" s="82" t="s">
        <v>905</v>
      </c>
      <c r="I5" s="82" t="s">
        <v>908</v>
      </c>
      <c r="J5" s="82">
        <v>8200</v>
      </c>
      <c r="K5" s="82">
        <v>8200</v>
      </c>
      <c r="L5" s="136">
        <v>8200</v>
      </c>
    </row>
    <row r="6" spans="1:12" x14ac:dyDescent="0.2">
      <c r="A6" s="86">
        <v>145310</v>
      </c>
      <c r="B6" s="84" t="s">
        <v>1307</v>
      </c>
      <c r="C6" s="84">
        <v>2</v>
      </c>
      <c r="D6" s="137">
        <v>1509</v>
      </c>
      <c r="E6" s="84">
        <v>0</v>
      </c>
      <c r="F6" s="137">
        <v>1509</v>
      </c>
      <c r="G6" s="84">
        <v>15.49</v>
      </c>
      <c r="H6" s="84">
        <v>15.49</v>
      </c>
      <c r="I6" s="137">
        <v>1493.51</v>
      </c>
      <c r="J6" s="84">
        <v>0</v>
      </c>
      <c r="K6" s="84">
        <v>0</v>
      </c>
      <c r="L6" s="138">
        <v>0</v>
      </c>
    </row>
    <row r="7" spans="1:12" x14ac:dyDescent="0.2">
      <c r="A7" s="86"/>
      <c r="B7" s="84" t="s">
        <v>912</v>
      </c>
      <c r="C7" s="84">
        <v>2</v>
      </c>
      <c r="D7" s="137">
        <v>1509</v>
      </c>
      <c r="E7" s="84">
        <v>0</v>
      </c>
      <c r="F7" s="137">
        <v>1509</v>
      </c>
      <c r="G7" s="84">
        <v>15.49</v>
      </c>
      <c r="H7" s="84">
        <v>15.49</v>
      </c>
      <c r="I7" s="137">
        <v>1493.51</v>
      </c>
      <c r="J7" s="84">
        <v>0</v>
      </c>
      <c r="K7" s="84">
        <v>0</v>
      </c>
      <c r="L7" s="138">
        <v>0</v>
      </c>
    </row>
    <row r="8" spans="1:12" x14ac:dyDescent="0.2">
      <c r="A8" s="86"/>
      <c r="B8" s="84" t="s">
        <v>902</v>
      </c>
      <c r="C8" s="84" t="s">
        <v>903</v>
      </c>
      <c r="D8" s="84" t="s">
        <v>914</v>
      </c>
      <c r="E8" s="84" t="s">
        <v>914</v>
      </c>
      <c r="F8" s="84" t="s">
        <v>914</v>
      </c>
      <c r="G8" s="84" t="s">
        <v>914</v>
      </c>
      <c r="H8" s="84" t="s">
        <v>914</v>
      </c>
      <c r="I8" s="84" t="s">
        <v>914</v>
      </c>
      <c r="J8" s="84" t="s">
        <v>914</v>
      </c>
      <c r="K8" s="84" t="s">
        <v>914</v>
      </c>
      <c r="L8" s="138"/>
    </row>
    <row r="9" spans="1:12" x14ac:dyDescent="0.2">
      <c r="A9" s="86">
        <v>118135</v>
      </c>
      <c r="B9" s="84" t="s">
        <v>916</v>
      </c>
      <c r="C9" s="84">
        <v>2</v>
      </c>
      <c r="D9" s="137">
        <v>11556</v>
      </c>
      <c r="E9" s="84">
        <v>0</v>
      </c>
      <c r="F9" s="137">
        <v>11556</v>
      </c>
      <c r="G9" s="84">
        <v>112.79</v>
      </c>
      <c r="H9" s="84">
        <v>112.79</v>
      </c>
      <c r="I9" s="137">
        <v>11443.21</v>
      </c>
      <c r="J9" s="84">
        <v>0</v>
      </c>
      <c r="K9" s="84">
        <v>0</v>
      </c>
      <c r="L9" s="138">
        <v>0</v>
      </c>
    </row>
    <row r="10" spans="1:12" x14ac:dyDescent="0.2">
      <c r="A10" s="86"/>
      <c r="B10" s="84" t="s">
        <v>1207</v>
      </c>
      <c r="C10" s="84">
        <v>2</v>
      </c>
      <c r="D10" s="137">
        <v>11556</v>
      </c>
      <c r="E10" s="84">
        <v>0</v>
      </c>
      <c r="F10" s="137">
        <v>11556</v>
      </c>
      <c r="G10" s="84">
        <v>112.79</v>
      </c>
      <c r="H10" s="84">
        <v>112.79</v>
      </c>
      <c r="I10" s="137">
        <v>11443.21</v>
      </c>
      <c r="J10" s="84">
        <v>0</v>
      </c>
      <c r="K10" s="84">
        <v>0</v>
      </c>
      <c r="L10" s="138">
        <v>0</v>
      </c>
    </row>
    <row r="11" spans="1:12" ht="16.5" thickBot="1" x14ac:dyDescent="0.3">
      <c r="A11" s="133"/>
      <c r="B11" s="120" t="s">
        <v>933</v>
      </c>
      <c r="C11" s="120">
        <v>4</v>
      </c>
      <c r="D11" s="139">
        <v>13065</v>
      </c>
      <c r="E11" s="120">
        <v>0</v>
      </c>
      <c r="F11" s="139">
        <v>13065</v>
      </c>
      <c r="G11" s="120">
        <v>128.28</v>
      </c>
      <c r="H11" s="120">
        <v>128.28</v>
      </c>
      <c r="I11" s="139">
        <v>12936.72</v>
      </c>
      <c r="J11" s="120">
        <v>0</v>
      </c>
      <c r="K11" s="120">
        <v>0</v>
      </c>
      <c r="L11" s="140">
        <v>0</v>
      </c>
    </row>
    <row r="12" spans="1:12" ht="13.5" thickTop="1" x14ac:dyDescent="0.2">
      <c r="B12" t="s">
        <v>1308</v>
      </c>
    </row>
    <row r="16" spans="1:12" ht="15" x14ac:dyDescent="0.25">
      <c r="A16" s="80" t="s">
        <v>894</v>
      </c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</row>
    <row r="17" spans="1:12" ht="15" x14ac:dyDescent="0.25">
      <c r="A17" s="80" t="s">
        <v>1309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  <c r="L17" s="80"/>
    </row>
    <row r="18" spans="1:12" ht="15.75" thickBot="1" x14ac:dyDescent="0.3">
      <c r="A18" s="80" t="s">
        <v>943</v>
      </c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</row>
    <row r="19" spans="1:12" ht="15.75" thickTop="1" x14ac:dyDescent="0.25">
      <c r="A19" s="126" t="s">
        <v>965</v>
      </c>
      <c r="B19" s="81" t="s">
        <v>896</v>
      </c>
      <c r="C19" s="81" t="s">
        <v>897</v>
      </c>
      <c r="D19" s="81" t="s">
        <v>898</v>
      </c>
      <c r="E19" s="81" t="s">
        <v>944</v>
      </c>
      <c r="F19" s="81" t="s">
        <v>898</v>
      </c>
      <c r="G19" s="81" t="s">
        <v>945</v>
      </c>
      <c r="H19" s="81" t="s">
        <v>945</v>
      </c>
      <c r="I19" s="81" t="s">
        <v>898</v>
      </c>
      <c r="J19" s="81" t="s">
        <v>944</v>
      </c>
      <c r="K19" s="81" t="s">
        <v>945</v>
      </c>
      <c r="L19" s="135" t="s">
        <v>901</v>
      </c>
    </row>
    <row r="20" spans="1:12" ht="15" x14ac:dyDescent="0.25">
      <c r="A20" s="129"/>
      <c r="B20" s="82" t="s">
        <v>902</v>
      </c>
      <c r="C20" s="82" t="s">
        <v>903</v>
      </c>
      <c r="D20" s="82" t="s">
        <v>904</v>
      </c>
      <c r="E20" s="82" t="s">
        <v>905</v>
      </c>
      <c r="F20" s="82" t="s">
        <v>906</v>
      </c>
      <c r="G20" s="82" t="s">
        <v>907</v>
      </c>
      <c r="H20" s="82" t="s">
        <v>905</v>
      </c>
      <c r="I20" s="82" t="s">
        <v>908</v>
      </c>
      <c r="J20" s="82">
        <v>8200</v>
      </c>
      <c r="K20" s="82">
        <v>8200</v>
      </c>
      <c r="L20" s="136">
        <v>8200</v>
      </c>
    </row>
    <row r="21" spans="1:12" x14ac:dyDescent="0.2">
      <c r="A21" s="83"/>
      <c r="B21" s="84" t="s">
        <v>917</v>
      </c>
      <c r="C21" s="84">
        <v>2</v>
      </c>
      <c r="D21" s="137">
        <v>53100</v>
      </c>
      <c r="E21" s="84">
        <v>0</v>
      </c>
      <c r="F21" s="137">
        <v>53100</v>
      </c>
      <c r="G21" s="84">
        <v>0</v>
      </c>
      <c r="H21" s="84">
        <v>0</v>
      </c>
      <c r="I21" s="137">
        <v>53100</v>
      </c>
      <c r="J21" s="84">
        <v>0</v>
      </c>
      <c r="K21" s="84">
        <v>0</v>
      </c>
      <c r="L21" s="138">
        <v>0</v>
      </c>
    </row>
    <row r="22" spans="1:12" x14ac:dyDescent="0.2">
      <c r="A22" s="83"/>
      <c r="B22" s="84" t="s">
        <v>918</v>
      </c>
      <c r="C22" s="84">
        <v>2</v>
      </c>
      <c r="D22" s="137">
        <v>53100</v>
      </c>
      <c r="E22" s="84">
        <v>0</v>
      </c>
      <c r="F22" s="137">
        <v>53100</v>
      </c>
      <c r="G22" s="84">
        <v>0</v>
      </c>
      <c r="H22" s="84">
        <v>0</v>
      </c>
      <c r="I22" s="137">
        <v>53100</v>
      </c>
      <c r="J22" s="84">
        <v>0</v>
      </c>
      <c r="K22" s="84">
        <v>0</v>
      </c>
      <c r="L22" s="138">
        <v>0</v>
      </c>
    </row>
    <row r="23" spans="1:12" ht="16.5" thickBot="1" x14ac:dyDescent="0.3">
      <c r="A23" s="119"/>
      <c r="B23" s="120" t="s">
        <v>933</v>
      </c>
      <c r="C23" s="120">
        <v>2</v>
      </c>
      <c r="D23" s="139">
        <v>53100</v>
      </c>
      <c r="E23" s="120">
        <v>0</v>
      </c>
      <c r="F23" s="139">
        <v>53100</v>
      </c>
      <c r="G23" s="120">
        <v>0</v>
      </c>
      <c r="H23" s="120">
        <v>0</v>
      </c>
      <c r="I23" s="139">
        <v>53100</v>
      </c>
      <c r="J23" s="120">
        <v>0</v>
      </c>
      <c r="K23" s="120">
        <v>0</v>
      </c>
      <c r="L23" s="140">
        <v>0</v>
      </c>
    </row>
    <row r="24" spans="1:12" ht="13.5" thickTop="1" x14ac:dyDescent="0.2">
      <c r="B24" t="s">
        <v>1310</v>
      </c>
    </row>
    <row r="27" spans="1:12" x14ac:dyDescent="0.2">
      <c r="A27" s="93">
        <v>125518</v>
      </c>
      <c r="B27" t="s">
        <v>972</v>
      </c>
      <c r="F27" s="1">
        <v>48100</v>
      </c>
    </row>
    <row r="28" spans="1:12" x14ac:dyDescent="0.2">
      <c r="A28" s="93">
        <v>125521</v>
      </c>
      <c r="B28" t="s">
        <v>1242</v>
      </c>
      <c r="F28" s="1">
        <v>5000</v>
      </c>
    </row>
    <row r="29" spans="1:12" x14ac:dyDescent="0.2">
      <c r="F29" s="141">
        <f>SUM(F27:F28)</f>
        <v>53100</v>
      </c>
    </row>
    <row r="32" spans="1:12" x14ac:dyDescent="0.2">
      <c r="A32" s="93">
        <v>125515</v>
      </c>
      <c r="B32" t="s">
        <v>866</v>
      </c>
      <c r="F32" s="142">
        <v>19104.7</v>
      </c>
    </row>
    <row r="33" spans="1:1" x14ac:dyDescent="0.2">
      <c r="A33" t="s">
        <v>1311</v>
      </c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EFE87-711A-4A0D-9B29-761419CE8648}">
  <sheetPr>
    <tabColor rgb="FF92D050"/>
  </sheetPr>
  <dimension ref="A1"/>
  <sheetViews>
    <sheetView zoomScale="80" zoomScaleNormal="80" workbookViewId="0">
      <selection activeCell="H27" sqref="H27"/>
    </sheetView>
  </sheetViews>
  <sheetFormatPr defaultRowHeight="12.75" x14ac:dyDescent="0.2"/>
  <cols>
    <col min="1" max="1" width="12.42578125" customWidth="1"/>
    <col min="2" max="2" width="11.85546875" bestFit="1" customWidth="1"/>
    <col min="3" max="3" width="45.140625" customWidth="1"/>
    <col min="4" max="4" width="14" bestFit="1" customWidth="1"/>
    <col min="5" max="7" width="14.140625" bestFit="1" customWidth="1"/>
    <col min="8" max="8" width="19" customWidth="1"/>
    <col min="9" max="9" width="16.42578125" customWidth="1"/>
    <col min="10" max="10" width="14.140625" bestFit="1" customWidth="1"/>
    <col min="11" max="11" width="10.28515625" bestFit="1" customWidth="1"/>
    <col min="12" max="13" width="15.5703125" customWidth="1"/>
  </cols>
  <sheetData/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10525-7F7C-48E5-B5FC-6111772551E8}">
  <sheetPr>
    <tabColor rgb="FF92D050"/>
  </sheetPr>
  <dimension ref="A3:J21"/>
  <sheetViews>
    <sheetView workbookViewId="0">
      <selection activeCell="L16" sqref="L16"/>
    </sheetView>
  </sheetViews>
  <sheetFormatPr defaultRowHeight="12.75" x14ac:dyDescent="0.2"/>
  <cols>
    <col min="1" max="1" width="9.140625" style="93"/>
    <col min="2" max="2" width="22.28515625" bestFit="1" customWidth="1"/>
    <col min="3" max="3" width="9.140625" style="93"/>
    <col min="4" max="4" width="10.28515625" customWidth="1"/>
    <col min="5" max="5" width="14.5703125" customWidth="1"/>
    <col min="6" max="6" width="12" customWidth="1"/>
    <col min="7" max="7" width="9.28515625" bestFit="1" customWidth="1"/>
    <col min="8" max="8" width="10.5703125" bestFit="1" customWidth="1"/>
  </cols>
  <sheetData>
    <row r="3" spans="1:9" ht="15" x14ac:dyDescent="0.25">
      <c r="A3" s="156" t="s">
        <v>1112</v>
      </c>
      <c r="B3" s="156"/>
      <c r="C3" s="156"/>
      <c r="D3" s="156"/>
      <c r="E3" s="156"/>
      <c r="F3" s="156"/>
      <c r="G3" s="156"/>
      <c r="H3" s="156"/>
    </row>
    <row r="4" spans="1:9" ht="13.5" thickBot="1" x14ac:dyDescent="0.25"/>
    <row r="5" spans="1:9" ht="43.5" customHeight="1" thickTop="1" x14ac:dyDescent="0.2">
      <c r="A5" s="97" t="s">
        <v>965</v>
      </c>
      <c r="B5" s="98" t="s">
        <v>947</v>
      </c>
      <c r="C5" s="99" t="s">
        <v>960</v>
      </c>
      <c r="D5" s="99" t="s">
        <v>961</v>
      </c>
      <c r="E5" s="99" t="s">
        <v>962</v>
      </c>
      <c r="F5" s="99" t="s">
        <v>963</v>
      </c>
      <c r="G5" s="99" t="s">
        <v>964</v>
      </c>
      <c r="H5" s="100" t="s">
        <v>964</v>
      </c>
      <c r="I5" s="88"/>
    </row>
    <row r="6" spans="1:9" ht="20.100000000000001" customHeight="1" x14ac:dyDescent="0.2">
      <c r="A6" s="94">
        <v>135005</v>
      </c>
      <c r="B6" s="89" t="s">
        <v>948</v>
      </c>
      <c r="C6" s="95">
        <v>40</v>
      </c>
      <c r="D6" s="89">
        <v>1</v>
      </c>
      <c r="E6" s="90">
        <v>0</v>
      </c>
      <c r="F6" s="90">
        <v>0</v>
      </c>
      <c r="G6" s="90">
        <v>-26.677580000000003</v>
      </c>
      <c r="H6" s="123">
        <v>-26411.56</v>
      </c>
      <c r="I6" s="88"/>
    </row>
    <row r="7" spans="1:9" ht="20.100000000000001" customHeight="1" x14ac:dyDescent="0.2">
      <c r="A7" s="94">
        <v>135010</v>
      </c>
      <c r="B7" s="89" t="s">
        <v>949</v>
      </c>
      <c r="C7" s="95">
        <v>10</v>
      </c>
      <c r="D7" s="89">
        <v>0</v>
      </c>
      <c r="E7" s="90">
        <v>3.7969700361953802E-2</v>
      </c>
      <c r="F7" s="90">
        <v>339.6031227499999</v>
      </c>
      <c r="G7" s="90">
        <v>0</v>
      </c>
      <c r="H7" s="123">
        <v>0</v>
      </c>
      <c r="I7" s="88"/>
    </row>
    <row r="8" spans="1:9" ht="20.100000000000001" customHeight="1" x14ac:dyDescent="0.2">
      <c r="A8" s="94" t="s">
        <v>946</v>
      </c>
      <c r="B8" s="89" t="s">
        <v>950</v>
      </c>
      <c r="C8" s="95">
        <v>0</v>
      </c>
      <c r="D8" s="89">
        <v>0</v>
      </c>
      <c r="E8" s="90">
        <v>0</v>
      </c>
      <c r="F8" s="90">
        <v>0</v>
      </c>
      <c r="G8" s="90">
        <v>0</v>
      </c>
      <c r="H8" s="123">
        <v>0</v>
      </c>
      <c r="I8" s="88"/>
    </row>
    <row r="9" spans="1:9" ht="20.100000000000001" customHeight="1" x14ac:dyDescent="0.2">
      <c r="A9" s="94">
        <v>135015</v>
      </c>
      <c r="B9" s="89" t="s">
        <v>951</v>
      </c>
      <c r="C9" s="95">
        <v>10</v>
      </c>
      <c r="D9" s="89">
        <v>0.1</v>
      </c>
      <c r="E9" s="90">
        <v>1.8444693024902984E-2</v>
      </c>
      <c r="F9" s="90">
        <v>20.079368634784611</v>
      </c>
      <c r="G9" s="90">
        <v>2.985248634784611</v>
      </c>
      <c r="H9" s="123">
        <v>2532.29</v>
      </c>
      <c r="I9" s="88"/>
    </row>
    <row r="10" spans="1:9" ht="20.100000000000001" customHeight="1" x14ac:dyDescent="0.2">
      <c r="A10" s="94">
        <v>135020</v>
      </c>
      <c r="B10" s="89" t="s">
        <v>952</v>
      </c>
      <c r="C10" s="95">
        <v>5</v>
      </c>
      <c r="D10" s="89">
        <v>0.05</v>
      </c>
      <c r="E10" s="90">
        <v>5.1555786549073099E-2</v>
      </c>
      <c r="F10" s="90">
        <v>25.196231230173581</v>
      </c>
      <c r="G10" s="90">
        <v>10.98262123017358</v>
      </c>
      <c r="H10" s="123">
        <v>9826.02</v>
      </c>
      <c r="I10" s="88"/>
    </row>
    <row r="11" spans="1:9" ht="20.100000000000001" customHeight="1" x14ac:dyDescent="0.2">
      <c r="A11" s="94">
        <v>135025</v>
      </c>
      <c r="B11" s="89" t="s">
        <v>953</v>
      </c>
      <c r="C11" s="95">
        <v>10</v>
      </c>
      <c r="D11" s="89">
        <v>0.05</v>
      </c>
      <c r="E11" s="90">
        <v>2.659423758692616E-2</v>
      </c>
      <c r="F11" s="90">
        <v>75.033168199428445</v>
      </c>
      <c r="G11" s="90">
        <v>15.080448199428446</v>
      </c>
      <c r="H11" s="123">
        <v>16774.82</v>
      </c>
      <c r="I11" s="88"/>
    </row>
    <row r="12" spans="1:9" ht="20.100000000000001" customHeight="1" x14ac:dyDescent="0.2">
      <c r="A12" s="94">
        <v>135030</v>
      </c>
      <c r="B12" s="89" t="s">
        <v>954</v>
      </c>
      <c r="C12" s="95">
        <v>7</v>
      </c>
      <c r="D12" s="89">
        <v>0.5</v>
      </c>
      <c r="E12" s="90">
        <v>0</v>
      </c>
      <c r="F12" s="90">
        <v>0</v>
      </c>
      <c r="G12" s="90">
        <v>0</v>
      </c>
      <c r="H12" s="123">
        <v>0</v>
      </c>
      <c r="I12" s="88"/>
    </row>
    <row r="13" spans="1:9" ht="20.100000000000001" customHeight="1" x14ac:dyDescent="0.2">
      <c r="A13" s="94" t="s">
        <v>946</v>
      </c>
      <c r="B13" s="89" t="s">
        <v>955</v>
      </c>
      <c r="C13" s="95">
        <v>0</v>
      </c>
      <c r="D13" s="89">
        <v>0</v>
      </c>
      <c r="E13" s="90">
        <v>0</v>
      </c>
      <c r="F13" s="90">
        <v>0</v>
      </c>
      <c r="G13" s="90">
        <v>0</v>
      </c>
      <c r="H13" s="123">
        <v>0</v>
      </c>
      <c r="I13" s="88"/>
    </row>
    <row r="14" spans="1:9" ht="20.100000000000001" customHeight="1" x14ac:dyDescent="0.2">
      <c r="A14" s="94">
        <v>135045</v>
      </c>
      <c r="B14" s="89" t="s">
        <v>956</v>
      </c>
      <c r="C14" s="95">
        <v>5</v>
      </c>
      <c r="D14" s="89">
        <v>0.05</v>
      </c>
      <c r="E14" s="90">
        <v>1.5669344042838016E-2</v>
      </c>
      <c r="F14" s="90">
        <v>5.795806558333334</v>
      </c>
      <c r="G14" s="90">
        <v>-4.0111734416666653</v>
      </c>
      <c r="H14" s="123">
        <v>-4828.3999999999996</v>
      </c>
      <c r="I14" s="88"/>
    </row>
    <row r="15" spans="1:9" ht="20.100000000000001" customHeight="1" x14ac:dyDescent="0.2">
      <c r="A15" s="94">
        <v>135050</v>
      </c>
      <c r="B15" s="89" t="s">
        <v>957</v>
      </c>
      <c r="C15" s="95">
        <v>5</v>
      </c>
      <c r="D15" s="89">
        <v>0.05</v>
      </c>
      <c r="E15" s="90">
        <v>1.5679487179487177E-2</v>
      </c>
      <c r="F15" s="90">
        <v>0.62843737500000008</v>
      </c>
      <c r="G15" s="90">
        <v>-0.40978262499999984</v>
      </c>
      <c r="H15" s="123">
        <v>-496.27</v>
      </c>
      <c r="I15" s="88"/>
    </row>
    <row r="16" spans="1:9" ht="20.100000000000001" customHeight="1" x14ac:dyDescent="0.2">
      <c r="A16" s="94">
        <v>135040</v>
      </c>
      <c r="B16" s="89" t="s">
        <v>958</v>
      </c>
      <c r="C16" s="95">
        <v>5</v>
      </c>
      <c r="D16" s="89">
        <v>0.05</v>
      </c>
      <c r="E16" s="90">
        <v>1.5679122182680902E-2</v>
      </c>
      <c r="F16" s="90">
        <v>3.2343104166666667</v>
      </c>
      <c r="G16" s="90">
        <v>-1.9244895833333335</v>
      </c>
      <c r="H16" s="123">
        <v>-2354.41</v>
      </c>
      <c r="I16" s="88"/>
    </row>
    <row r="17" spans="1:10" ht="20.100000000000001" customHeight="1" x14ac:dyDescent="0.2">
      <c r="A17" s="94">
        <v>135055</v>
      </c>
      <c r="B17" s="89" t="s">
        <v>959</v>
      </c>
      <c r="C17" s="95">
        <v>5</v>
      </c>
      <c r="D17" s="89">
        <v>0.05</v>
      </c>
      <c r="E17" s="90">
        <v>1.5679012345679012E-2</v>
      </c>
      <c r="F17" s="90">
        <v>1.9769152833333334</v>
      </c>
      <c r="G17" s="90">
        <v>-1.2071847166666665</v>
      </c>
      <c r="H17" s="123">
        <v>-1472.66</v>
      </c>
      <c r="I17" s="88"/>
    </row>
    <row r="18" spans="1:10" ht="20.100000000000001" customHeight="1" x14ac:dyDescent="0.25">
      <c r="A18" s="94"/>
      <c r="B18" s="89"/>
      <c r="C18" s="95"/>
      <c r="D18" s="89"/>
      <c r="E18" s="101" t="s">
        <v>966</v>
      </c>
      <c r="F18" s="102"/>
      <c r="G18" s="102">
        <v>-5.1818923022800316</v>
      </c>
      <c r="H18" s="124">
        <f>SUM(H6:H17)</f>
        <v>-6430.17</v>
      </c>
      <c r="I18" s="103">
        <v>0.04</v>
      </c>
      <c r="J18" s="143">
        <f>H18*I18</f>
        <v>-257.20679999999999</v>
      </c>
    </row>
    <row r="19" spans="1:10" ht="20.100000000000001" customHeight="1" x14ac:dyDescent="0.2">
      <c r="A19" s="94"/>
      <c r="B19" s="89"/>
      <c r="C19" s="95"/>
      <c r="D19" s="89"/>
      <c r="E19" s="90"/>
      <c r="F19" s="90"/>
      <c r="G19" s="90"/>
      <c r="H19" s="125">
        <f>H18-J18</f>
        <v>-6172.9632000000001</v>
      </c>
      <c r="I19" s="88"/>
    </row>
    <row r="20" spans="1:10" ht="20.100000000000001" customHeight="1" thickBot="1" x14ac:dyDescent="0.25">
      <c r="A20" s="87"/>
      <c r="B20" s="85"/>
      <c r="C20" s="96"/>
      <c r="D20" s="85"/>
      <c r="E20" s="91"/>
      <c r="F20" s="91"/>
      <c r="G20" s="91"/>
      <c r="H20" s="92"/>
    </row>
    <row r="21" spans="1:10" ht="13.5" thickTop="1" x14ac:dyDescent="0.2"/>
  </sheetData>
  <mergeCells count="1">
    <mergeCell ref="A3:H3"/>
  </mergeCells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A5C7994F1C3B246A94EA7B754660B26" ma:contentTypeVersion="9" ma:contentTypeDescription="Crie um novo documento." ma:contentTypeScope="" ma:versionID="e87396aaf43eee6f7cc669beaa659493">
  <xsd:schema xmlns:xsd="http://www.w3.org/2001/XMLSchema" xmlns:xs="http://www.w3.org/2001/XMLSchema" xmlns:p="http://schemas.microsoft.com/office/2006/metadata/properties" xmlns:ns2="83b04eba-257d-48b8-b0fa-fdd00350b97f" xmlns:ns3="151331de-fa6e-4fdd-b8b1-2b14636df1a7" targetNamespace="http://schemas.microsoft.com/office/2006/metadata/properties" ma:root="true" ma:fieldsID="acaf24d3685ffd1a9e2a2c7a02d1021c" ns2:_="" ns3:_="">
    <xsd:import namespace="83b04eba-257d-48b8-b0fa-fdd00350b97f"/>
    <xsd:import namespace="151331de-fa6e-4fdd-b8b1-2b14636df1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b04eba-257d-48b8-b0fa-fdd00350b9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331de-fa6e-4fdd-b8b1-2b14636df1a7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DEF838-4546-4C4F-BB65-342E036F130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CD1722A-CD28-4AF8-AF02-368970C3529C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83b04eba-257d-48b8-b0fa-fdd00350b97f"/>
    <ds:schemaRef ds:uri="http://purl.org/dc/terms/"/>
    <ds:schemaRef ds:uri="http://schemas.openxmlformats.org/package/2006/metadata/core-properties"/>
    <ds:schemaRef ds:uri="151331de-fa6e-4fdd-b8b1-2b14636df1a7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774B766-810D-4D09-8C39-C6A3AB23CD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b04eba-257d-48b8-b0fa-fdd00350b97f"/>
    <ds:schemaRef ds:uri="151331de-fa6e-4fdd-b8b1-2b14636df1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11</vt:i4>
      </vt:variant>
      <vt:variant>
        <vt:lpstr>Intervalos Nomeados</vt:lpstr>
      </vt:variant>
      <vt:variant>
        <vt:i4>2</vt:i4>
      </vt:variant>
    </vt:vector>
  </HeadingPairs>
  <TitlesOfParts>
    <vt:vector size="13" baseType="lpstr">
      <vt:lpstr>RESUMO</vt:lpstr>
      <vt:lpstr>adições</vt:lpstr>
      <vt:lpstr>participações CSC Alfa</vt:lpstr>
      <vt:lpstr>tranf. proj</vt:lpstr>
      <vt:lpstr>baixas</vt:lpstr>
      <vt:lpstr>depreciações</vt:lpstr>
      <vt:lpstr>Balancete Contab. 12 2020</vt:lpstr>
      <vt:lpstr>Afixo  Saldos Geral  htsp 12 20</vt:lpstr>
      <vt:lpstr>Afixo Aquisição  12 20 </vt:lpstr>
      <vt:lpstr>Afixo Baixas Geral 12 2020</vt:lpstr>
      <vt:lpstr>Ativo CPC 27   12 20</vt:lpstr>
      <vt:lpstr>baixas!Titulos_de_impressao</vt:lpstr>
      <vt:lpstr>RESUMO!Titulos_de_impressao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</dc:creator>
  <cp:keywords/>
  <dc:description/>
  <cp:lastModifiedBy>evanildo contigencia</cp:lastModifiedBy>
  <cp:revision/>
  <cp:lastPrinted>2020-02-03T18:26:34Z</cp:lastPrinted>
  <dcterms:created xsi:type="dcterms:W3CDTF">1997-01-10T22:22:50Z</dcterms:created>
  <dcterms:modified xsi:type="dcterms:W3CDTF">2021-02-01T02:27:05Z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0x0101007A5C7994F1C3B246A94EA7B754660B26</vt:lpwstr>
  </property>
</Properties>
</file>